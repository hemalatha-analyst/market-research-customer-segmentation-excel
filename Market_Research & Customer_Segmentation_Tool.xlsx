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emal\Downloads\"/>
    </mc:Choice>
  </mc:AlternateContent>
  <xr:revisionPtr revIDLastSave="0" documentId="8_{AC26CD4D-131F-48CE-871D-8769A059BB79}" xr6:coauthVersionLast="47" xr6:coauthVersionMax="47" xr10:uidLastSave="{00000000-0000-0000-0000-000000000000}"/>
  <bookViews>
    <workbookView xWindow="-108" yWindow="-108" windowWidth="23256" windowHeight="12456" tabRatio="919" activeTab="4" xr2:uid="{0A353F9F-9065-4398-A1AD-B02B7E65C168}"/>
  </bookViews>
  <sheets>
    <sheet name="Raw_Data" sheetId="1" r:id="rId1"/>
    <sheet name="Cleaned_Data" sheetId="2" r:id="rId2"/>
    <sheet name="Segmentation_Logic" sheetId="3" r:id="rId3"/>
    <sheet name="KPI_Summary" sheetId="4" r:id="rId4"/>
    <sheet name="Pivot_Table" sheetId="6" r:id="rId5"/>
    <sheet name="Dashboard" sheetId="14" r:id="rId6"/>
  </sheets>
  <definedNames>
    <definedName name="Slicer_City">#N/A</definedName>
    <definedName name="Slicer_Customer_Segment">#N/A</definedName>
    <definedName name="Slicer_Purchase_Channel">#N/A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4" l="1"/>
  <c r="B4" i="4"/>
  <c r="B6" i="4"/>
  <c r="B5" i="4"/>
  <c r="B3" i="4"/>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R3" i="3"/>
  <c r="R11" i="3"/>
  <c r="R19" i="3"/>
  <c r="R27" i="3"/>
  <c r="R35" i="3"/>
  <c r="R43" i="3"/>
  <c r="R46" i="3"/>
  <c r="R51" i="3"/>
  <c r="R54" i="3"/>
  <c r="R59" i="3"/>
  <c r="R62" i="3"/>
  <c r="R67" i="3"/>
  <c r="R70" i="3"/>
  <c r="R75" i="3"/>
  <c r="R78" i="3"/>
  <c r="R83" i="3"/>
  <c r="R86" i="3"/>
  <c r="R91" i="3"/>
  <c r="R94" i="3"/>
  <c r="R99" i="3"/>
  <c r="Q10" i="3"/>
  <c r="Q11" i="3"/>
  <c r="T11" i="3" s="1"/>
  <c r="Q12" i="3"/>
  <c r="Q13" i="3"/>
  <c r="Q14" i="3"/>
  <c r="Q15" i="3"/>
  <c r="Q16" i="3"/>
  <c r="Q17" i="3"/>
  <c r="T17" i="3" s="1"/>
  <c r="Q18" i="3"/>
  <c r="Q19" i="3"/>
  <c r="T19" i="3" s="1"/>
  <c r="Q20" i="3"/>
  <c r="Q21" i="3"/>
  <c r="Q22" i="3"/>
  <c r="Q23" i="3"/>
  <c r="Q24" i="3"/>
  <c r="Q25" i="3"/>
  <c r="T25" i="3" s="1"/>
  <c r="Q26" i="3"/>
  <c r="Q27" i="3"/>
  <c r="T27" i="3" s="1"/>
  <c r="Q28" i="3"/>
  <c r="Q29" i="3"/>
  <c r="Q30" i="3"/>
  <c r="Q31" i="3"/>
  <c r="Q32" i="3"/>
  <c r="Q33" i="3"/>
  <c r="T33" i="3" s="1"/>
  <c r="Q34" i="3"/>
  <c r="Q35" i="3"/>
  <c r="T35" i="3" s="1"/>
  <c r="Q36" i="3"/>
  <c r="Q37" i="3"/>
  <c r="Q38" i="3"/>
  <c r="Q39" i="3"/>
  <c r="Q40" i="3"/>
  <c r="Q41" i="3"/>
  <c r="T41" i="3" s="1"/>
  <c r="Q42" i="3"/>
  <c r="Q43" i="3"/>
  <c r="T43" i="3" s="1"/>
  <c r="Q44" i="3"/>
  <c r="Q45" i="3"/>
  <c r="Q46" i="3"/>
  <c r="T46" i="3" s="1"/>
  <c r="Q47" i="3"/>
  <c r="Q48" i="3"/>
  <c r="Q49" i="3"/>
  <c r="T49" i="3" s="1"/>
  <c r="Q50" i="3"/>
  <c r="Q51" i="3"/>
  <c r="T51" i="3" s="1"/>
  <c r="Q52" i="3"/>
  <c r="Q53" i="3"/>
  <c r="Q54" i="3"/>
  <c r="T54" i="3" s="1"/>
  <c r="Q55" i="3"/>
  <c r="Q56" i="3"/>
  <c r="Q57" i="3"/>
  <c r="T57" i="3" s="1"/>
  <c r="Q58" i="3"/>
  <c r="Q59" i="3"/>
  <c r="T59" i="3" s="1"/>
  <c r="Q60" i="3"/>
  <c r="Q61" i="3"/>
  <c r="Q62" i="3"/>
  <c r="T62" i="3" s="1"/>
  <c r="Q63" i="3"/>
  <c r="Q64" i="3"/>
  <c r="Q65" i="3"/>
  <c r="T65" i="3" s="1"/>
  <c r="Q66" i="3"/>
  <c r="Q67" i="3"/>
  <c r="T67" i="3" s="1"/>
  <c r="Q68" i="3"/>
  <c r="Q69" i="3"/>
  <c r="Q70" i="3"/>
  <c r="T70" i="3" s="1"/>
  <c r="Q71" i="3"/>
  <c r="T71" i="3" s="1"/>
  <c r="Q72" i="3"/>
  <c r="Q73" i="3"/>
  <c r="T73" i="3" s="1"/>
  <c r="Q74" i="3"/>
  <c r="Q75" i="3"/>
  <c r="T75" i="3" s="1"/>
  <c r="Q76" i="3"/>
  <c r="Q77" i="3"/>
  <c r="Q78" i="3"/>
  <c r="T78" i="3" s="1"/>
  <c r="Q79" i="3"/>
  <c r="T79" i="3" s="1"/>
  <c r="Q80" i="3"/>
  <c r="Q81" i="3"/>
  <c r="T81" i="3" s="1"/>
  <c r="Q82" i="3"/>
  <c r="Q83" i="3"/>
  <c r="T83" i="3" s="1"/>
  <c r="Q84" i="3"/>
  <c r="Q85" i="3"/>
  <c r="Q86" i="3"/>
  <c r="T86" i="3" s="1"/>
  <c r="Q87" i="3"/>
  <c r="T87" i="3" s="1"/>
  <c r="Q88" i="3"/>
  <c r="Q89" i="3"/>
  <c r="T89" i="3" s="1"/>
  <c r="Q90" i="3"/>
  <c r="T90" i="3" s="1"/>
  <c r="Q91" i="3"/>
  <c r="T91" i="3" s="1"/>
  <c r="Q92" i="3"/>
  <c r="Q93" i="3"/>
  <c r="Q94" i="3"/>
  <c r="T94" i="3" s="1"/>
  <c r="Q95" i="3"/>
  <c r="T95" i="3" s="1"/>
  <c r="Q96" i="3"/>
  <c r="Q97" i="3"/>
  <c r="T97" i="3" s="1"/>
  <c r="Q98" i="3"/>
  <c r="T98" i="3" s="1"/>
  <c r="Q99" i="3"/>
  <c r="T99" i="3" s="1"/>
  <c r="Q100" i="3"/>
  <c r="Q101" i="3"/>
  <c r="Q3" i="3"/>
  <c r="T3" i="3" s="1"/>
  <c r="Q4" i="3"/>
  <c r="Q5" i="3"/>
  <c r="T5" i="3" s="1"/>
  <c r="Q6" i="3"/>
  <c r="T6" i="3" s="1"/>
  <c r="Q7" i="3"/>
  <c r="Q8" i="3"/>
  <c r="Q9" i="3"/>
  <c r="S2" i="3"/>
  <c r="Q2" i="3"/>
  <c r="T2" i="3" s="1"/>
  <c r="I101" i="3"/>
  <c r="R101" i="3" s="1"/>
  <c r="A101" i="3"/>
  <c r="I100" i="3"/>
  <c r="R100" i="3" s="1"/>
  <c r="A100" i="3"/>
  <c r="I99" i="3"/>
  <c r="A99" i="3"/>
  <c r="I98" i="3"/>
  <c r="R98" i="3" s="1"/>
  <c r="A98" i="3"/>
  <c r="I97" i="3"/>
  <c r="R97" i="3" s="1"/>
  <c r="A97" i="3"/>
  <c r="I96" i="3"/>
  <c r="R96" i="3" s="1"/>
  <c r="A96" i="3"/>
  <c r="I95" i="3"/>
  <c r="R95" i="3" s="1"/>
  <c r="A95" i="3"/>
  <c r="I94" i="3"/>
  <c r="A94" i="3"/>
  <c r="I93" i="3"/>
  <c r="R93" i="3" s="1"/>
  <c r="A93" i="3"/>
  <c r="I92" i="3"/>
  <c r="R92" i="3" s="1"/>
  <c r="A92" i="3"/>
  <c r="I91" i="3"/>
  <c r="A91" i="3"/>
  <c r="I90" i="3"/>
  <c r="R90" i="3" s="1"/>
  <c r="A90" i="3"/>
  <c r="I89" i="3"/>
  <c r="R89" i="3" s="1"/>
  <c r="A89" i="3"/>
  <c r="I88" i="3"/>
  <c r="R88" i="3" s="1"/>
  <c r="A88" i="3"/>
  <c r="I87" i="3"/>
  <c r="R87" i="3" s="1"/>
  <c r="A87" i="3"/>
  <c r="I86" i="3"/>
  <c r="A86" i="3"/>
  <c r="I85" i="3"/>
  <c r="R85" i="3" s="1"/>
  <c r="A85" i="3"/>
  <c r="I84" i="3"/>
  <c r="R84" i="3" s="1"/>
  <c r="A84" i="3"/>
  <c r="I83" i="3"/>
  <c r="A83" i="3"/>
  <c r="I82" i="3"/>
  <c r="R82" i="3" s="1"/>
  <c r="T82" i="3" s="1"/>
  <c r="A82" i="3"/>
  <c r="I81" i="3"/>
  <c r="R81" i="3" s="1"/>
  <c r="A81" i="3"/>
  <c r="I80" i="3"/>
  <c r="R80" i="3" s="1"/>
  <c r="A80" i="3"/>
  <c r="I79" i="3"/>
  <c r="R79" i="3" s="1"/>
  <c r="A79" i="3"/>
  <c r="I78" i="3"/>
  <c r="A78" i="3"/>
  <c r="I77" i="3"/>
  <c r="R77" i="3" s="1"/>
  <c r="A77" i="3"/>
  <c r="I76" i="3"/>
  <c r="R76" i="3" s="1"/>
  <c r="A76" i="3"/>
  <c r="I75" i="3"/>
  <c r="A75" i="3"/>
  <c r="I74" i="3"/>
  <c r="R74" i="3" s="1"/>
  <c r="T74" i="3" s="1"/>
  <c r="A74" i="3"/>
  <c r="I73" i="3"/>
  <c r="R73" i="3" s="1"/>
  <c r="A73" i="3"/>
  <c r="I72" i="3"/>
  <c r="R72" i="3" s="1"/>
  <c r="A72" i="3"/>
  <c r="I71" i="3"/>
  <c r="R71" i="3" s="1"/>
  <c r="A71" i="3"/>
  <c r="I70" i="3"/>
  <c r="A70" i="3"/>
  <c r="I69" i="3"/>
  <c r="R69" i="3" s="1"/>
  <c r="A69" i="3"/>
  <c r="I68" i="3"/>
  <c r="R68" i="3" s="1"/>
  <c r="A68" i="3"/>
  <c r="I67" i="3"/>
  <c r="A67" i="3"/>
  <c r="I66" i="3"/>
  <c r="R66" i="3" s="1"/>
  <c r="T66" i="3" s="1"/>
  <c r="A66" i="3"/>
  <c r="I65" i="3"/>
  <c r="R65" i="3" s="1"/>
  <c r="A65" i="3"/>
  <c r="I64" i="3"/>
  <c r="R64" i="3" s="1"/>
  <c r="A64" i="3"/>
  <c r="I63" i="3"/>
  <c r="R63" i="3" s="1"/>
  <c r="A63" i="3"/>
  <c r="I62" i="3"/>
  <c r="A62" i="3"/>
  <c r="I61" i="3"/>
  <c r="R61" i="3" s="1"/>
  <c r="A61" i="3"/>
  <c r="I60" i="3"/>
  <c r="R60" i="3" s="1"/>
  <c r="A60" i="3"/>
  <c r="I59" i="3"/>
  <c r="A59" i="3"/>
  <c r="I58" i="3"/>
  <c r="R58" i="3" s="1"/>
  <c r="T58" i="3" s="1"/>
  <c r="A58" i="3"/>
  <c r="I57" i="3"/>
  <c r="R57" i="3" s="1"/>
  <c r="A57" i="3"/>
  <c r="I56" i="3"/>
  <c r="R56" i="3" s="1"/>
  <c r="A56" i="3"/>
  <c r="I55" i="3"/>
  <c r="R55" i="3" s="1"/>
  <c r="A55" i="3"/>
  <c r="I54" i="3"/>
  <c r="A54" i="3"/>
  <c r="I53" i="3"/>
  <c r="R53" i="3" s="1"/>
  <c r="A53" i="3"/>
  <c r="I52" i="3"/>
  <c r="R52" i="3" s="1"/>
  <c r="A52" i="3"/>
  <c r="I51" i="3"/>
  <c r="A51" i="3"/>
  <c r="I50" i="3"/>
  <c r="R50" i="3" s="1"/>
  <c r="T50" i="3" s="1"/>
  <c r="A50" i="3"/>
  <c r="I49" i="3"/>
  <c r="R49" i="3" s="1"/>
  <c r="A49" i="3"/>
  <c r="I48" i="3"/>
  <c r="R48" i="3" s="1"/>
  <c r="A48" i="3"/>
  <c r="I47" i="3"/>
  <c r="R47" i="3" s="1"/>
  <c r="A47" i="3"/>
  <c r="I46" i="3"/>
  <c r="A46" i="3"/>
  <c r="I45" i="3"/>
  <c r="R45" i="3" s="1"/>
  <c r="A45" i="3"/>
  <c r="I44" i="3"/>
  <c r="R44" i="3" s="1"/>
  <c r="A44" i="3"/>
  <c r="I43" i="3"/>
  <c r="A43" i="3"/>
  <c r="I42" i="3"/>
  <c r="R42" i="3" s="1"/>
  <c r="T42" i="3" s="1"/>
  <c r="A42" i="3"/>
  <c r="I41" i="3"/>
  <c r="R41" i="3" s="1"/>
  <c r="A41" i="3"/>
  <c r="I40" i="3"/>
  <c r="R40" i="3" s="1"/>
  <c r="A40" i="3"/>
  <c r="I39" i="3"/>
  <c r="R39" i="3" s="1"/>
  <c r="A39" i="3"/>
  <c r="I38" i="3"/>
  <c r="R38" i="3" s="1"/>
  <c r="A38" i="3"/>
  <c r="I37" i="3"/>
  <c r="R37" i="3" s="1"/>
  <c r="A37" i="3"/>
  <c r="I36" i="3"/>
  <c r="R36" i="3" s="1"/>
  <c r="A36" i="3"/>
  <c r="I35" i="3"/>
  <c r="A35" i="3"/>
  <c r="I34" i="3"/>
  <c r="R34" i="3" s="1"/>
  <c r="T34" i="3" s="1"/>
  <c r="A34" i="3"/>
  <c r="I33" i="3"/>
  <c r="R33" i="3" s="1"/>
  <c r="A33" i="3"/>
  <c r="I32" i="3"/>
  <c r="R32" i="3" s="1"/>
  <c r="A32" i="3"/>
  <c r="I31" i="3"/>
  <c r="R31" i="3" s="1"/>
  <c r="A31" i="3"/>
  <c r="I30" i="3"/>
  <c r="R30" i="3" s="1"/>
  <c r="A30" i="3"/>
  <c r="I29" i="3"/>
  <c r="R29" i="3" s="1"/>
  <c r="A29" i="3"/>
  <c r="I28" i="3"/>
  <c r="R28" i="3" s="1"/>
  <c r="A28" i="3"/>
  <c r="I27" i="3"/>
  <c r="A27" i="3"/>
  <c r="I26" i="3"/>
  <c r="R26" i="3" s="1"/>
  <c r="T26" i="3" s="1"/>
  <c r="A26" i="3"/>
  <c r="I25" i="3"/>
  <c r="R25" i="3" s="1"/>
  <c r="A25" i="3"/>
  <c r="I24" i="3"/>
  <c r="R24" i="3" s="1"/>
  <c r="A24" i="3"/>
  <c r="I23" i="3"/>
  <c r="R23" i="3" s="1"/>
  <c r="A23" i="3"/>
  <c r="I22" i="3"/>
  <c r="R22" i="3" s="1"/>
  <c r="A22" i="3"/>
  <c r="I21" i="3"/>
  <c r="R21" i="3" s="1"/>
  <c r="A21" i="3"/>
  <c r="I20" i="3"/>
  <c r="R20" i="3" s="1"/>
  <c r="A20" i="3"/>
  <c r="I19" i="3"/>
  <c r="A19" i="3"/>
  <c r="I18" i="3"/>
  <c r="R18" i="3" s="1"/>
  <c r="T18" i="3" s="1"/>
  <c r="A18" i="3"/>
  <c r="I17" i="3"/>
  <c r="R17" i="3" s="1"/>
  <c r="A17" i="3"/>
  <c r="I16" i="3"/>
  <c r="R16" i="3" s="1"/>
  <c r="A16" i="3"/>
  <c r="I15" i="3"/>
  <c r="R15" i="3" s="1"/>
  <c r="A15" i="3"/>
  <c r="I14" i="3"/>
  <c r="R14" i="3" s="1"/>
  <c r="A14" i="3"/>
  <c r="I13" i="3"/>
  <c r="R13" i="3" s="1"/>
  <c r="A13" i="3"/>
  <c r="I12" i="3"/>
  <c r="R12" i="3" s="1"/>
  <c r="A12" i="3"/>
  <c r="I11" i="3"/>
  <c r="A11" i="3"/>
  <c r="I10" i="3"/>
  <c r="R10" i="3" s="1"/>
  <c r="T10" i="3" s="1"/>
  <c r="A10" i="3"/>
  <c r="I9" i="3"/>
  <c r="R9" i="3" s="1"/>
  <c r="A9" i="3"/>
  <c r="I8" i="3"/>
  <c r="R8" i="3" s="1"/>
  <c r="A8" i="3"/>
  <c r="I7" i="3"/>
  <c r="R7" i="3" s="1"/>
  <c r="A7" i="3"/>
  <c r="I6" i="3"/>
  <c r="R6" i="3" s="1"/>
  <c r="A6" i="3"/>
  <c r="I5" i="3"/>
  <c r="R5" i="3" s="1"/>
  <c r="A5" i="3"/>
  <c r="I4" i="3"/>
  <c r="R4" i="3" s="1"/>
  <c r="A4" i="3"/>
  <c r="I3" i="3"/>
  <c r="A3" i="3"/>
  <c r="I2" i="3"/>
  <c r="R2" i="3" s="1"/>
  <c r="A2" i="3"/>
  <c r="I101" i="2"/>
  <c r="A101" i="2"/>
  <c r="I100" i="2"/>
  <c r="A100" i="2"/>
  <c r="I99" i="2"/>
  <c r="A99" i="2"/>
  <c r="I98" i="2"/>
  <c r="A98" i="2"/>
  <c r="I97" i="2"/>
  <c r="A97" i="2"/>
  <c r="I96" i="2"/>
  <c r="A96" i="2"/>
  <c r="I95" i="2"/>
  <c r="A95" i="2"/>
  <c r="I94" i="2"/>
  <c r="A94" i="2"/>
  <c r="I93" i="2"/>
  <c r="A93" i="2"/>
  <c r="I92" i="2"/>
  <c r="A92" i="2"/>
  <c r="I91" i="2"/>
  <c r="A91" i="2"/>
  <c r="I90" i="2"/>
  <c r="A90" i="2"/>
  <c r="I89" i="2"/>
  <c r="A89" i="2"/>
  <c r="I88" i="2"/>
  <c r="A88" i="2"/>
  <c r="I87" i="2"/>
  <c r="A87" i="2"/>
  <c r="I86" i="2"/>
  <c r="A86" i="2"/>
  <c r="I85" i="2"/>
  <c r="A85" i="2"/>
  <c r="I84" i="2"/>
  <c r="A84" i="2"/>
  <c r="I83" i="2"/>
  <c r="A83" i="2"/>
  <c r="I82" i="2"/>
  <c r="A82" i="2"/>
  <c r="I81" i="2"/>
  <c r="A81" i="2"/>
  <c r="I80" i="2"/>
  <c r="A80" i="2"/>
  <c r="I79" i="2"/>
  <c r="A79" i="2"/>
  <c r="I78" i="2"/>
  <c r="A78" i="2"/>
  <c r="I77" i="2"/>
  <c r="A77" i="2"/>
  <c r="I76" i="2"/>
  <c r="A76" i="2"/>
  <c r="I75" i="2"/>
  <c r="A75" i="2"/>
  <c r="I74" i="2"/>
  <c r="A74" i="2"/>
  <c r="I73" i="2"/>
  <c r="A73" i="2"/>
  <c r="I72" i="2"/>
  <c r="A72" i="2"/>
  <c r="I71" i="2"/>
  <c r="A71" i="2"/>
  <c r="I70" i="2"/>
  <c r="A70" i="2"/>
  <c r="I69" i="2"/>
  <c r="A69" i="2"/>
  <c r="I68" i="2"/>
  <c r="A68" i="2"/>
  <c r="I67" i="2"/>
  <c r="A67" i="2"/>
  <c r="I66" i="2"/>
  <c r="A66" i="2"/>
  <c r="I65" i="2"/>
  <c r="A65" i="2"/>
  <c r="I64" i="2"/>
  <c r="A64" i="2"/>
  <c r="I63" i="2"/>
  <c r="A63" i="2"/>
  <c r="I62" i="2"/>
  <c r="A62" i="2"/>
  <c r="I61" i="2"/>
  <c r="A61" i="2"/>
  <c r="I60" i="2"/>
  <c r="A60" i="2"/>
  <c r="I59" i="2"/>
  <c r="A59" i="2"/>
  <c r="I58" i="2"/>
  <c r="A58" i="2"/>
  <c r="I57" i="2"/>
  <c r="A57" i="2"/>
  <c r="I56" i="2"/>
  <c r="A56" i="2"/>
  <c r="I55" i="2"/>
  <c r="A55" i="2"/>
  <c r="I54" i="2"/>
  <c r="A54" i="2"/>
  <c r="I53" i="2"/>
  <c r="A53" i="2"/>
  <c r="I52" i="2"/>
  <c r="A52" i="2"/>
  <c r="I51" i="2"/>
  <c r="A51" i="2"/>
  <c r="I50" i="2"/>
  <c r="A50" i="2"/>
  <c r="I49" i="2"/>
  <c r="A49" i="2"/>
  <c r="I48" i="2"/>
  <c r="A48" i="2"/>
  <c r="I47" i="2"/>
  <c r="A47" i="2"/>
  <c r="I46" i="2"/>
  <c r="A46" i="2"/>
  <c r="I45" i="2"/>
  <c r="A45" i="2"/>
  <c r="I44" i="2"/>
  <c r="A44" i="2"/>
  <c r="I43" i="2"/>
  <c r="A43" i="2"/>
  <c r="I42" i="2"/>
  <c r="A42" i="2"/>
  <c r="I41" i="2"/>
  <c r="A41" i="2"/>
  <c r="I40" i="2"/>
  <c r="A40" i="2"/>
  <c r="I39" i="2"/>
  <c r="A39" i="2"/>
  <c r="I38" i="2"/>
  <c r="A38" i="2"/>
  <c r="I37" i="2"/>
  <c r="A37" i="2"/>
  <c r="I36" i="2"/>
  <c r="A36" i="2"/>
  <c r="I35" i="2"/>
  <c r="A35" i="2"/>
  <c r="I34" i="2"/>
  <c r="A34" i="2"/>
  <c r="I33" i="2"/>
  <c r="A33" i="2"/>
  <c r="I32" i="2"/>
  <c r="A32" i="2"/>
  <c r="I31" i="2"/>
  <c r="A31" i="2"/>
  <c r="I30" i="2"/>
  <c r="A30" i="2"/>
  <c r="I29" i="2"/>
  <c r="A29" i="2"/>
  <c r="I28" i="2"/>
  <c r="A28" i="2"/>
  <c r="I27" i="2"/>
  <c r="A27" i="2"/>
  <c r="I26" i="2"/>
  <c r="A26" i="2"/>
  <c r="I25" i="2"/>
  <c r="A25" i="2"/>
  <c r="I24" i="2"/>
  <c r="A24" i="2"/>
  <c r="I23" i="2"/>
  <c r="A23" i="2"/>
  <c r="I22" i="2"/>
  <c r="A22" i="2"/>
  <c r="I21" i="2"/>
  <c r="A21" i="2"/>
  <c r="I20" i="2"/>
  <c r="A20" i="2"/>
  <c r="I19" i="2"/>
  <c r="A19" i="2"/>
  <c r="I18" i="2"/>
  <c r="A18" i="2"/>
  <c r="I17" i="2"/>
  <c r="A17" i="2"/>
  <c r="I16" i="2"/>
  <c r="A16" i="2"/>
  <c r="I15" i="2"/>
  <c r="A15" i="2"/>
  <c r="I14" i="2"/>
  <c r="A14" i="2"/>
  <c r="I13" i="2"/>
  <c r="A13" i="2"/>
  <c r="I12" i="2"/>
  <c r="A12" i="2"/>
  <c r="I11" i="2"/>
  <c r="A11" i="2"/>
  <c r="I10" i="2"/>
  <c r="A10" i="2"/>
  <c r="I9" i="2"/>
  <c r="A9" i="2"/>
  <c r="I8" i="2"/>
  <c r="A8" i="2"/>
  <c r="I7" i="2"/>
  <c r="A7" i="2"/>
  <c r="I6" i="2"/>
  <c r="A6" i="2"/>
  <c r="I5" i="2"/>
  <c r="A5" i="2"/>
  <c r="I4" i="2"/>
  <c r="A4" i="2"/>
  <c r="I3" i="2"/>
  <c r="A3" i="2"/>
  <c r="I2" i="2"/>
  <c r="A2" i="2"/>
  <c r="I2" i="1"/>
  <c r="I84" i="1"/>
  <c r="I85" i="1"/>
  <c r="I86" i="1"/>
  <c r="I87" i="1"/>
  <c r="I88" i="1"/>
  <c r="I89" i="1"/>
  <c r="I90" i="1"/>
  <c r="I91" i="1"/>
  <c r="I92" i="1"/>
  <c r="I93" i="1"/>
  <c r="I94" i="1"/>
  <c r="I95" i="1"/>
  <c r="I96" i="1"/>
  <c r="I97" i="1"/>
  <c r="I98" i="1"/>
  <c r="I99" i="1"/>
  <c r="I100" i="1"/>
  <c r="I101" i="1"/>
  <c r="I62" i="1"/>
  <c r="I63" i="1"/>
  <c r="I64" i="1"/>
  <c r="I65" i="1"/>
  <c r="I66" i="1"/>
  <c r="I67" i="1"/>
  <c r="I68" i="1"/>
  <c r="I69" i="1"/>
  <c r="I70" i="1"/>
  <c r="I71" i="1"/>
  <c r="I72" i="1"/>
  <c r="I73" i="1"/>
  <c r="I74" i="1"/>
  <c r="I75" i="1"/>
  <c r="I76" i="1"/>
  <c r="I77" i="1"/>
  <c r="I78" i="1"/>
  <c r="I79" i="1"/>
  <c r="I80" i="1"/>
  <c r="I81" i="1"/>
  <c r="I82" i="1"/>
  <c r="I83"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14" i="1"/>
  <c r="I15" i="1"/>
  <c r="I16" i="1"/>
  <c r="I17" i="1"/>
  <c r="I18" i="1"/>
  <c r="I19" i="1"/>
  <c r="I20" i="1"/>
  <c r="I21" i="1"/>
  <c r="I22" i="1"/>
  <c r="I23" i="1"/>
  <c r="I24" i="1"/>
  <c r="I25" i="1"/>
  <c r="I26" i="1"/>
  <c r="I27" i="1"/>
  <c r="I28" i="1"/>
  <c r="I29" i="1"/>
  <c r="I30" i="1"/>
  <c r="I31" i="1"/>
  <c r="I3" i="1"/>
  <c r="I4" i="1"/>
  <c r="I5" i="1"/>
  <c r="I6" i="1"/>
  <c r="I7" i="1"/>
  <c r="I8" i="1"/>
  <c r="I9" i="1"/>
  <c r="I10" i="1"/>
  <c r="I11" i="1"/>
  <c r="I12" i="1"/>
  <c r="I13"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2" i="1"/>
  <c r="T4" i="3" l="1"/>
  <c r="T96" i="3"/>
  <c r="T88" i="3"/>
  <c r="T80" i="3"/>
  <c r="T72" i="3"/>
  <c r="T64" i="3"/>
  <c r="T56" i="3"/>
  <c r="T48" i="3"/>
  <c r="T40" i="3"/>
  <c r="T32" i="3"/>
  <c r="T24" i="3"/>
  <c r="T16" i="3"/>
  <c r="T55" i="3"/>
  <c r="T31" i="3"/>
  <c r="T38" i="3"/>
  <c r="T30" i="3"/>
  <c r="T22" i="3"/>
  <c r="T14" i="3"/>
  <c r="T63" i="3"/>
  <c r="T47" i="3"/>
  <c r="T39" i="3"/>
  <c r="T23" i="3"/>
  <c r="T15" i="3"/>
  <c r="T9" i="3"/>
  <c r="T101" i="3"/>
  <c r="T93" i="3"/>
  <c r="T85" i="3"/>
  <c r="T77" i="3"/>
  <c r="T69" i="3"/>
  <c r="T61" i="3"/>
  <c r="T53" i="3"/>
  <c r="T45" i="3"/>
  <c r="T37" i="3"/>
  <c r="T29" i="3"/>
  <c r="T21" i="3"/>
  <c r="T13" i="3"/>
  <c r="T8" i="3"/>
  <c r="T100" i="3"/>
  <c r="T92" i="3"/>
  <c r="T84" i="3"/>
  <c r="T76" i="3"/>
  <c r="T68" i="3"/>
  <c r="T60" i="3"/>
  <c r="T52" i="3"/>
  <c r="T44" i="3"/>
  <c r="T36" i="3"/>
  <c r="T28" i="3"/>
  <c r="T20" i="3"/>
  <c r="T12" i="3"/>
  <c r="T7" i="3"/>
</calcChain>
</file>

<file path=xl/sharedStrings.xml><?xml version="1.0" encoding="utf-8"?>
<sst xmlns="http://schemas.openxmlformats.org/spreadsheetml/2006/main" count="2795" uniqueCount="68">
  <si>
    <t>Age</t>
  </si>
  <si>
    <t>Gender</t>
  </si>
  <si>
    <t>Occupation</t>
  </si>
  <si>
    <t>Customer_ID</t>
  </si>
  <si>
    <t>City</t>
  </si>
  <si>
    <t>Income_Level</t>
  </si>
  <si>
    <t>Purchase_Frequency</t>
  </si>
  <si>
    <t>Avg_Order_Value</t>
  </si>
  <si>
    <t>Total_Spending</t>
  </si>
  <si>
    <t>Product_Category</t>
  </si>
  <si>
    <t>Purchase_Channel</t>
  </si>
  <si>
    <t>Customer_Type</t>
  </si>
  <si>
    <t>Engagement_Level</t>
  </si>
  <si>
    <t>Discount_Sensitivity</t>
  </si>
  <si>
    <t>Last_Purchase_Date</t>
  </si>
  <si>
    <t>Customer_Segment</t>
  </si>
  <si>
    <t>Male</t>
  </si>
  <si>
    <t>Hyderabad</t>
  </si>
  <si>
    <t>Medium</t>
  </si>
  <si>
    <t>Student</t>
  </si>
  <si>
    <t>Electronics</t>
  </si>
  <si>
    <t>Online</t>
  </si>
  <si>
    <t>New</t>
  </si>
  <si>
    <t>High</t>
  </si>
  <si>
    <t>Female</t>
  </si>
  <si>
    <t>Bangalore</t>
  </si>
  <si>
    <t>IT Employee</t>
  </si>
  <si>
    <t>Fashion</t>
  </si>
  <si>
    <t>Returning</t>
  </si>
  <si>
    <t>Low</t>
  </si>
  <si>
    <t>Chennai</t>
  </si>
  <si>
    <t>Business</t>
  </si>
  <si>
    <t>Offline</t>
  </si>
  <si>
    <t>Mumbai</t>
  </si>
  <si>
    <t>Teacher</t>
  </si>
  <si>
    <t>Beauty</t>
  </si>
  <si>
    <t>Delhi</t>
  </si>
  <si>
    <t>Manager</t>
  </si>
  <si>
    <t>HR</t>
  </si>
  <si>
    <t>Engineer</t>
  </si>
  <si>
    <t>Designer</t>
  </si>
  <si>
    <t>Sports</t>
  </si>
  <si>
    <t>Grocery</t>
  </si>
  <si>
    <t>od</t>
  </si>
  <si>
    <t>new</t>
  </si>
  <si>
    <t>Frequency_Score</t>
  </si>
  <si>
    <t>Spending_Score</t>
  </si>
  <si>
    <t>Engagement_Score</t>
  </si>
  <si>
    <t>Total_Score</t>
  </si>
  <si>
    <t>Total Customers</t>
  </si>
  <si>
    <t>Total Revenue</t>
  </si>
  <si>
    <t>Average Order Value</t>
  </si>
  <si>
    <t>Premium Customers</t>
  </si>
  <si>
    <t>Repeat Customer %</t>
  </si>
  <si>
    <t>Row Labels</t>
  </si>
  <si>
    <t>Grand Total</t>
  </si>
  <si>
    <t>Low Value</t>
  </si>
  <si>
    <t>Regular</t>
  </si>
  <si>
    <t>Premium</t>
  </si>
  <si>
    <t>Count of Customer_ID</t>
  </si>
  <si>
    <t>Sum of Total_Spending</t>
  </si>
  <si>
    <t>Customers by Segment</t>
  </si>
  <si>
    <t>Revenue by Segment</t>
  </si>
  <si>
    <t>City-wise Customers</t>
  </si>
  <si>
    <t>Product Category Analysis</t>
  </si>
  <si>
    <t>Channel Performance</t>
  </si>
  <si>
    <t>KPI</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</si>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</sst>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entury Schoolbook"/>
      <family val="2"/>
      <scheme val="minor"/>
    </font>
    <font>
      <sz val="11"/>
      <color theme="1"/>
      <name val="Century Schoolbook"/>
      <family val="2"/>
      <scheme val="minor"/>
    </font>
    <font>
      <b/>
      <sz val="11"/>
      <color theme="1"/>
      <name val="Century Schoolbook"/>
      <family val="2"/>
      <scheme val="minor"/>
    </font>
    <font>
      <b/>
      <sz val="12"/>
      <color theme="1"/>
      <name val="Century Schoolbook"/>
      <family val="2"/>
      <scheme val="minor"/>
    </font>
    <font>
      <b/>
      <sz val="14"/>
      <color theme="1"/>
      <name val="Century Schoolbook"/>
      <family val="2"/>
      <scheme val="minor"/>
    </font>
    <font>
      <b/>
      <sz val="16"/>
      <color theme="1"/>
      <name val="Century Schoolbook"/>
      <family val="2"/>
      <scheme val="minor"/>
    </font>
    <font>
      <sz val="16"/>
      <color theme="1"/>
      <name val="Century Schoolbook"/>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2" borderId="0" xfId="0" applyFill="1"/>
    <xf numFmtId="0" fontId="3" fillId="0" borderId="0" xfId="0" applyFont="1"/>
    <xf numFmtId="0" fontId="4" fillId="0" borderId="0" xfId="0" applyFont="1"/>
    <xf numFmtId="164" fontId="0" fillId="0" borderId="0" xfId="0" applyNumberFormat="1" applyAlignment="1">
      <alignment vertical="center" wrapText="1"/>
    </xf>
    <xf numFmtId="0" fontId="5" fillId="3" borderId="0" xfId="0" applyFont="1" applyFill="1"/>
    <xf numFmtId="0" fontId="0" fillId="3" borderId="0" xfId="0" applyFill="1"/>
    <xf numFmtId="0" fontId="6" fillId="3" borderId="0" xfId="0" applyFont="1" applyFill="1"/>
    <xf numFmtId="9" fontId="6" fillId="3" borderId="0" xfId="0" applyNumberFormat="1" applyFont="1" applyFill="1"/>
    <xf numFmtId="2" fontId="0" fillId="0" borderId="0" xfId="0" applyNumberFormat="1" applyAlignment="1">
      <alignment vertical="center" wrapText="1"/>
    </xf>
    <xf numFmtId="2" fontId="0" fillId="0" borderId="0" xfId="1" applyNumberFormat="1" applyFont="1" applyAlignment="1">
      <alignment vertical="center" wrapText="1"/>
    </xf>
    <xf numFmtId="0" fontId="0" fillId="0" borderId="0" xfId="0" applyNumberFormat="1"/>
  </cellXfs>
  <cellStyles count="2">
    <cellStyle name="Normal" xfId="0" builtinId="0"/>
    <cellStyle name="Percent" xfId="1" builtinId="5"/>
  </cellStyles>
  <dxfs count="3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entury Schoolbook"/>
        <family val="2"/>
        <scheme val="minor"/>
      </font>
      <alignment horizontal="center" vertical="center" textRotation="0" wrapText="1" indent="0" justifyLastLine="0" shrinkToFit="0" readingOrder="0"/>
    </dxf>
    <dxf>
      <numFmt numFmtId="0" formatCode="General"/>
    </dxf>
    <dxf>
      <numFmt numFmtId="165"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entury Schoolbook"/>
        <family val="2"/>
        <scheme val="minor"/>
      </font>
      <alignment horizontal="center" vertical="center" textRotation="0" wrapText="1" indent="0" justifyLastLine="0" shrinkToFit="0" readingOrder="0"/>
    </dxf>
    <dxf>
      <numFmt numFmtId="165"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entury Schoolbook"/>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 &amp; Customer_Segmentation_Tool.xlsx]Pivot_Table!PivotTable1</c:name>
    <c:fmtId val="15"/>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US" sz="2400" b="1" baseline="0">
                <a:solidFill>
                  <a:schemeClr val="tx1"/>
                </a:solidFill>
              </a:rPr>
              <a:t>Customers by Segment</a:t>
            </a:r>
          </a:p>
        </c:rich>
      </c:tx>
      <c:layout>
        <c:manualLayout>
          <c:xMode val="edge"/>
          <c:yMode val="edge"/>
          <c:x val="0.22688506573739101"/>
          <c:y val="7.458374182871027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4232302876119039E-2"/>
              <c:y val="-7.66633224555926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717783946361703E-2"/>
              <c:y val="-1.1499498368338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717783946361647E-2"/>
              <c:y val="1.1499498368338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3716604727453"/>
          <c:y val="0.14809541889083666"/>
          <c:w val="0.64108686951269767"/>
          <c:h val="0.70247039111189602"/>
        </c:manualLayout>
      </c:layout>
      <c:bar3DChart>
        <c:barDir val="bar"/>
        <c:grouping val="clustered"/>
        <c:varyColors val="0"/>
        <c:ser>
          <c:idx val="0"/>
          <c:order val="0"/>
          <c:tx>
            <c:strRef>
              <c:f>Pivot_Table!$B$3</c:f>
              <c:strCache>
                <c:ptCount val="1"/>
                <c:pt idx="0">
                  <c:v>Total</c:v>
                </c:pt>
              </c:strCache>
            </c:strRef>
          </c:tx>
          <c:spPr>
            <a:solidFill>
              <a:schemeClr val="accent1"/>
            </a:solidFill>
            <a:ln>
              <a:noFill/>
            </a:ln>
            <a:effectLst/>
            <a:sp3d/>
          </c:spPr>
          <c:invertIfNegative val="0"/>
          <c:dLbls>
            <c:dLbl>
              <c:idx val="0"/>
              <c:layout>
                <c:manualLayout>
                  <c:x val="2.2717783946361647E-2"/>
                  <c:y val="1.1499498368338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92-4582-B74F-7A92E9C69832}"/>
                </c:ext>
              </c:extLst>
            </c:dLbl>
            <c:dLbl>
              <c:idx val="1"/>
              <c:layout>
                <c:manualLayout>
                  <c:x val="2.2717783946361703E-2"/>
                  <c:y val="-1.1499498368338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92-4582-B74F-7A92E9C69832}"/>
                </c:ext>
              </c:extLst>
            </c:dLbl>
            <c:dLbl>
              <c:idx val="2"/>
              <c:layout>
                <c:manualLayout>
                  <c:x val="2.4232302876119039E-2"/>
                  <c:y val="-7.66633224555926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92-4582-B74F-7A92E9C698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Low Value</c:v>
                </c:pt>
                <c:pt idx="1">
                  <c:v>Premium</c:v>
                </c:pt>
                <c:pt idx="2">
                  <c:v>Regular</c:v>
                </c:pt>
              </c:strCache>
            </c:strRef>
          </c:cat>
          <c:val>
            <c:numRef>
              <c:f>Pivot_Table!$B$4:$B$7</c:f>
              <c:numCache>
                <c:formatCode>General</c:formatCode>
                <c:ptCount val="3"/>
                <c:pt idx="0">
                  <c:v>11</c:v>
                </c:pt>
                <c:pt idx="1">
                  <c:v>37</c:v>
                </c:pt>
                <c:pt idx="2">
                  <c:v>52</c:v>
                </c:pt>
              </c:numCache>
            </c:numRef>
          </c:val>
          <c:extLst>
            <c:ext xmlns:c16="http://schemas.microsoft.com/office/drawing/2014/chart" uri="{C3380CC4-5D6E-409C-BE32-E72D297353CC}">
              <c16:uniqueId val="{00000000-D82F-4920-8018-5CD46ABB8D05}"/>
            </c:ext>
          </c:extLst>
        </c:ser>
        <c:dLbls>
          <c:showLegendKey val="0"/>
          <c:showVal val="1"/>
          <c:showCatName val="0"/>
          <c:showSerName val="0"/>
          <c:showPercent val="0"/>
          <c:showBubbleSize val="0"/>
        </c:dLbls>
        <c:gapWidth val="150"/>
        <c:shape val="box"/>
        <c:axId val="119275360"/>
        <c:axId val="119278720"/>
        <c:axId val="0"/>
      </c:bar3DChart>
      <c:catAx>
        <c:axId val="119275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119278720"/>
        <c:crosses val="autoZero"/>
        <c:auto val="1"/>
        <c:lblAlgn val="ctr"/>
        <c:lblOffset val="100"/>
        <c:noMultiLvlLbl val="0"/>
      </c:catAx>
      <c:valAx>
        <c:axId val="119278720"/>
        <c:scaling>
          <c:orientation val="minMax"/>
        </c:scaling>
        <c:delete val="1"/>
        <c:axPos val="b"/>
        <c:numFmt formatCode="General" sourceLinked="1"/>
        <c:majorTickMark val="out"/>
        <c:minorTickMark val="none"/>
        <c:tickLblPos val="nextTo"/>
        <c:crossAx val="1192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a:outerShdw blurRad="50800" dist="50800" dir="5400000" algn="ctr" rotWithShape="0">
        <a:schemeClr val="accent1">
          <a:lumMod val="60000"/>
          <a:lumOff val="40000"/>
          <a:alpha val="4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t>Revenue by Segment</a:t>
            </a:r>
          </a:p>
        </c:rich>
      </c:tx>
      <c:layout>
        <c:manualLayout>
          <c:xMode val="edge"/>
          <c:yMode val="edge"/>
          <c:x val="0.15082349774483159"/>
          <c:y val="5.4792398560527963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6470258549924E-3"/>
          <c:y val="0.17568695720386732"/>
          <c:w val="0.7625917527081445"/>
          <c:h val="0.73996082352207704"/>
        </c:manualLayout>
      </c:layout>
      <c:barChart>
        <c:barDir val="col"/>
        <c:grouping val="clustered"/>
        <c:varyColors val="0"/>
        <c:ser>
          <c:idx val="0"/>
          <c:order val="0"/>
          <c:tx>
            <c:v>Series1</c:v>
          </c:tx>
          <c:spPr>
            <a:solidFill>
              <a:schemeClr val="accent6"/>
            </a:solidFill>
            <a:ln>
              <a:noFill/>
            </a:ln>
            <a:effectLst>
              <a:outerShdw blurRad="50800" dist="50800" dir="5400000" algn="ctr" rotWithShape="0">
                <a:schemeClr val="accent1">
                  <a:lumMod val="60000"/>
                  <a:lumOff val="40000"/>
                  <a:alpha val="5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94480</c:v>
              </c:pt>
              <c:pt idx="1">
                <c:v>2307843</c:v>
              </c:pt>
              <c:pt idx="2">
                <c:v>1089206</c:v>
              </c:pt>
            </c:numLit>
          </c:val>
          <c:extLst>
            <c:ext xmlns:c16="http://schemas.microsoft.com/office/drawing/2014/chart" uri="{C3380CC4-5D6E-409C-BE32-E72D297353CC}">
              <c16:uniqueId val="{00000000-B4F9-4773-BF3C-DAD100556D16}"/>
            </c:ext>
          </c:extLst>
        </c:ser>
        <c:dLbls>
          <c:dLblPos val="outEnd"/>
          <c:showLegendKey val="0"/>
          <c:showVal val="1"/>
          <c:showCatName val="0"/>
          <c:showSerName val="0"/>
          <c:showPercent val="0"/>
          <c:showBubbleSize val="0"/>
        </c:dLbls>
        <c:gapWidth val="219"/>
        <c:overlap val="-27"/>
        <c:axId val="119323360"/>
        <c:axId val="119321920"/>
      </c:barChart>
      <c:catAx>
        <c:axId val="11932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19321920"/>
        <c:crosses val="autoZero"/>
        <c:auto val="1"/>
        <c:lblAlgn val="ctr"/>
        <c:lblOffset val="100"/>
        <c:noMultiLvlLbl val="0"/>
      </c:catAx>
      <c:valAx>
        <c:axId val="119321920"/>
        <c:scaling>
          <c:orientation val="minMax"/>
        </c:scaling>
        <c:delete val="1"/>
        <c:axPos val="l"/>
        <c:numFmt formatCode="General" sourceLinked="1"/>
        <c:majorTickMark val="none"/>
        <c:minorTickMark val="none"/>
        <c:tickLblPos val="nextTo"/>
        <c:crossAx val="11932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a:outerShdw blurRad="50800" dist="50800" dir="5400000" algn="ctr" rotWithShape="0">
        <a:schemeClr val="accent1">
          <a:lumMod val="60000"/>
          <a:lumOff val="40000"/>
          <a:alpha val="69000"/>
        </a:schemeClr>
      </a:outerShdw>
    </a:effectLst>
  </c:spPr>
  <c:txPr>
    <a:bodyPr/>
    <a:lstStyle/>
    <a:p>
      <a:pPr>
        <a:defRPr sz="1050">
          <a:solidFill>
            <a:schemeClr val="tx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i="0" baseline="0">
                <a:solidFill>
                  <a:schemeClr val="tx1"/>
                </a:solidFill>
              </a:rPr>
              <a:t>Customer Distribution</a:t>
            </a:r>
          </a:p>
        </c:rich>
      </c:tx>
      <c:layout>
        <c:manualLayout>
          <c:xMode val="edge"/>
          <c:yMode val="edge"/>
          <c:x val="0.32148790743148059"/>
          <c:y val="5.9332758950276163E-3"/>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8F-4EAF-AFF5-7095A364A4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8F-4EAF-AFF5-7095A364A4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8F-4EAF-AFF5-7095A364A4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8F-4EAF-AFF5-7095A364A4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8F-4EAF-AFF5-7095A364A41A}"/>
              </c:ext>
            </c:extLst>
          </c:dPt>
          <c:dLbls>
            <c:dLbl>
              <c:idx val="0"/>
              <c:layout>
                <c:manualLayout>
                  <c:x val="9.1440180066816132E-2"/>
                  <c:y val="-5.3730980750919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8F-4EAF-AFF5-7095A364A41A}"/>
                </c:ext>
              </c:extLst>
            </c:dLbl>
            <c:dLbl>
              <c:idx val="1"/>
              <c:layout>
                <c:manualLayout>
                  <c:x val="9.8474040071955829E-2"/>
                  <c:y val="-9.481937779574064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8F-4EAF-AFF5-7095A364A41A}"/>
                </c:ext>
              </c:extLst>
            </c:dLbl>
            <c:dLbl>
              <c:idx val="2"/>
              <c:layout>
                <c:manualLayout>
                  <c:x val="9.1440180066816132E-2"/>
                  <c:y val="6.63735644570183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8F-4EAF-AFF5-7095A364A41A}"/>
                </c:ext>
              </c:extLst>
            </c:dLbl>
            <c:dLbl>
              <c:idx val="3"/>
              <c:layout>
                <c:manualLayout>
                  <c:x val="-0.10081866007366906"/>
                  <c:y val="5.6891626677444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8F-4EAF-AFF5-7095A364A41A}"/>
                </c:ext>
              </c:extLst>
            </c:dLbl>
            <c:dLbl>
              <c:idx val="4"/>
              <c:layout>
                <c:manualLayout>
                  <c:x val="-7.0338600051397027E-2"/>
                  <c:y val="-8.84980859426912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8F-4EAF-AFF5-7095A364A41A}"/>
                </c:ext>
              </c:extLst>
            </c:dLbl>
            <c:spPr>
              <a:solidFill>
                <a:srgbClr val="46464A">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Bangalore</c:v>
              </c:pt>
              <c:pt idx="1">
                <c:v>Chennai</c:v>
              </c:pt>
              <c:pt idx="2">
                <c:v>Delhi</c:v>
              </c:pt>
              <c:pt idx="3">
                <c:v>Hyderabad</c:v>
              </c:pt>
              <c:pt idx="4">
                <c:v>Mumbai</c:v>
              </c:pt>
            </c:strLit>
          </c:cat>
          <c:val>
            <c:numLit>
              <c:formatCode>General</c:formatCode>
              <c:ptCount val="5"/>
              <c:pt idx="0">
                <c:v>18</c:v>
              </c:pt>
              <c:pt idx="1">
                <c:v>19</c:v>
              </c:pt>
              <c:pt idx="2">
                <c:v>20</c:v>
              </c:pt>
              <c:pt idx="3">
                <c:v>22</c:v>
              </c:pt>
              <c:pt idx="4">
                <c:v>21</c:v>
              </c:pt>
            </c:numLit>
          </c:val>
          <c:extLst>
            <c:ext xmlns:c16="http://schemas.microsoft.com/office/drawing/2014/chart" uri="{C3380CC4-5D6E-409C-BE32-E72D297353CC}">
              <c16:uniqueId val="{0000000A-2E8F-4EAF-AFF5-7095A364A41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a:outerShdw blurRad="50800" dist="50800" dir="5400000" algn="ctr" rotWithShape="0">
        <a:schemeClr val="accent1">
          <a:lumMod val="60000"/>
          <a:lumOff val="40000"/>
          <a:alpha val="56000"/>
        </a:scheme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t>Purchase Trend Over Time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00"/>
              <c:pt idx="0">
                <c:v>Jan 2026 3-Jan</c:v>
              </c:pt>
              <c:pt idx="1">
                <c:v>Jan 2026 4-Jan</c:v>
              </c:pt>
              <c:pt idx="2">
                <c:v>Jan 2026 5-Jan</c:v>
              </c:pt>
              <c:pt idx="3">
                <c:v>Jan 2026 6-Jan</c:v>
              </c:pt>
              <c:pt idx="4">
                <c:v>Jan 2026 7-Jan</c:v>
              </c:pt>
              <c:pt idx="5">
                <c:v>Jan 2026 8-Jan</c:v>
              </c:pt>
              <c:pt idx="6">
                <c:v>Jan 2026 9-Jan</c:v>
              </c:pt>
              <c:pt idx="7">
                <c:v>Jan 2026 10-Jan</c:v>
              </c:pt>
              <c:pt idx="8">
                <c:v>Jan 2026 11-Jan</c:v>
              </c:pt>
              <c:pt idx="9">
                <c:v>Jan 2026 12-Jan</c:v>
              </c:pt>
              <c:pt idx="10">
                <c:v>Jan 2026 13-Jan</c:v>
              </c:pt>
              <c:pt idx="11">
                <c:v>Jan 2026 14-Jan</c:v>
              </c:pt>
              <c:pt idx="12">
                <c:v>Jan 2026 15-Jan</c:v>
              </c:pt>
              <c:pt idx="13">
                <c:v>Jan 2026 16-Jan</c:v>
              </c:pt>
              <c:pt idx="14">
                <c:v>Jan 2026 17-Jan</c:v>
              </c:pt>
              <c:pt idx="15">
                <c:v>Jan 2026 18-Jan</c:v>
              </c:pt>
              <c:pt idx="16">
                <c:v>Jan 2026 19-Jan</c:v>
              </c:pt>
              <c:pt idx="17">
                <c:v>Jan 2026 20-Jan</c:v>
              </c:pt>
              <c:pt idx="18">
                <c:v>Jan 2026 21-Jan</c:v>
              </c:pt>
              <c:pt idx="19">
                <c:v>Jan 2026 22-Jan</c:v>
              </c:pt>
              <c:pt idx="20">
                <c:v>Jan 2026 23-Jan</c:v>
              </c:pt>
              <c:pt idx="21">
                <c:v>Jan 2026 24-Jan</c:v>
              </c:pt>
              <c:pt idx="22">
                <c:v>Jan 2026 25-Jan</c:v>
              </c:pt>
              <c:pt idx="23">
                <c:v>Jan 2026 26-Jan</c:v>
              </c:pt>
              <c:pt idx="24">
                <c:v>Jan 2026 27-Jan</c:v>
              </c:pt>
              <c:pt idx="25">
                <c:v>Jan 2026 28-Jan</c:v>
              </c:pt>
              <c:pt idx="26">
                <c:v>Jan 2026 29-Jan</c:v>
              </c:pt>
              <c:pt idx="27">
                <c:v>Jan 2026 30-Jan</c:v>
              </c:pt>
              <c:pt idx="28">
                <c:v>Jan 2026 31-Jan</c:v>
              </c:pt>
              <c:pt idx="29">
                <c:v>Feb 2026 1-Feb</c:v>
              </c:pt>
              <c:pt idx="30">
                <c:v>Feb 2026 2-Feb</c:v>
              </c:pt>
              <c:pt idx="31">
                <c:v>Feb 2026 3-Feb</c:v>
              </c:pt>
              <c:pt idx="32">
                <c:v>Feb 2026 4-Feb</c:v>
              </c:pt>
              <c:pt idx="33">
                <c:v>Feb 2026 5-Feb</c:v>
              </c:pt>
              <c:pt idx="34">
                <c:v>Feb 2026 6-Feb</c:v>
              </c:pt>
              <c:pt idx="35">
                <c:v>Feb 2026 7-Feb</c:v>
              </c:pt>
              <c:pt idx="36">
                <c:v>Feb 2026 8-Feb</c:v>
              </c:pt>
              <c:pt idx="37">
                <c:v>Feb 2026 9-Feb</c:v>
              </c:pt>
              <c:pt idx="38">
                <c:v>Feb 2026 10-Feb</c:v>
              </c:pt>
              <c:pt idx="39">
                <c:v>Feb 2026 11-Feb</c:v>
              </c:pt>
              <c:pt idx="40">
                <c:v>Feb 2026 12-Feb</c:v>
              </c:pt>
              <c:pt idx="41">
                <c:v>Feb 2026 13-Feb</c:v>
              </c:pt>
              <c:pt idx="42">
                <c:v>Feb 2026 14-Feb</c:v>
              </c:pt>
              <c:pt idx="43">
                <c:v>Feb 2026 15-Feb</c:v>
              </c:pt>
              <c:pt idx="44">
                <c:v>Feb 2026 16-Feb</c:v>
              </c:pt>
              <c:pt idx="45">
                <c:v>Feb 2026 17-Feb</c:v>
              </c:pt>
              <c:pt idx="46">
                <c:v>Feb 2026 18-Feb</c:v>
              </c:pt>
              <c:pt idx="47">
                <c:v>Feb 2026 19-Feb</c:v>
              </c:pt>
              <c:pt idx="48">
                <c:v>Feb 2026 20-Feb</c:v>
              </c:pt>
              <c:pt idx="49">
                <c:v>Feb 2026 21-Feb</c:v>
              </c:pt>
              <c:pt idx="50">
                <c:v>Feb 2026 22-Feb</c:v>
              </c:pt>
              <c:pt idx="51">
                <c:v>Feb 2026 23-Feb</c:v>
              </c:pt>
              <c:pt idx="52">
                <c:v>Feb 2026 24-Feb</c:v>
              </c:pt>
              <c:pt idx="53">
                <c:v>Feb 2026 25-Feb</c:v>
              </c:pt>
              <c:pt idx="54">
                <c:v>Feb 2026 26-Feb</c:v>
              </c:pt>
              <c:pt idx="55">
                <c:v>Feb 2026 27-Feb</c:v>
              </c:pt>
              <c:pt idx="56">
                <c:v>Feb 2026 28-Feb</c:v>
              </c:pt>
              <c:pt idx="57">
                <c:v>Mar 2026 1-Mar</c:v>
              </c:pt>
              <c:pt idx="58">
                <c:v>Mar 2026 2-Mar</c:v>
              </c:pt>
              <c:pt idx="59">
                <c:v>Mar 2026 3-Mar</c:v>
              </c:pt>
              <c:pt idx="60">
                <c:v>Mar 2026 4-Mar</c:v>
              </c:pt>
              <c:pt idx="61">
                <c:v>Mar 2026 5-Mar</c:v>
              </c:pt>
              <c:pt idx="62">
                <c:v>Mar 2026 6-Mar</c:v>
              </c:pt>
              <c:pt idx="63">
                <c:v>Mar 2026 7-Mar</c:v>
              </c:pt>
              <c:pt idx="64">
                <c:v>Mar 2026 8-Mar</c:v>
              </c:pt>
              <c:pt idx="65">
                <c:v>Mar 2026 9-Mar</c:v>
              </c:pt>
              <c:pt idx="66">
                <c:v>Mar 2026 10-Mar</c:v>
              </c:pt>
              <c:pt idx="67">
                <c:v>Mar 2026 11-Mar</c:v>
              </c:pt>
              <c:pt idx="68">
                <c:v>Mar 2026 12-Mar</c:v>
              </c:pt>
              <c:pt idx="69">
                <c:v>Mar 2026 13-Mar</c:v>
              </c:pt>
              <c:pt idx="70">
                <c:v>Mar 2026 14-Mar</c:v>
              </c:pt>
              <c:pt idx="71">
                <c:v>Mar 2026 15-Mar</c:v>
              </c:pt>
              <c:pt idx="72">
                <c:v>Mar 2026 16-Mar</c:v>
              </c:pt>
              <c:pt idx="73">
                <c:v>Mar 2026 17-Mar</c:v>
              </c:pt>
              <c:pt idx="74">
                <c:v>Mar 2026 18-Mar</c:v>
              </c:pt>
              <c:pt idx="75">
                <c:v>Mar 2026 19-Mar</c:v>
              </c:pt>
              <c:pt idx="76">
                <c:v>Mar 2026 20-Mar</c:v>
              </c:pt>
              <c:pt idx="77">
                <c:v>Mar 2026 21-Mar</c:v>
              </c:pt>
              <c:pt idx="78">
                <c:v>Mar 2026 22-Mar</c:v>
              </c:pt>
              <c:pt idx="79">
                <c:v>Mar 2026 23-Mar</c:v>
              </c:pt>
              <c:pt idx="80">
                <c:v>Mar 2026 24-Mar</c:v>
              </c:pt>
              <c:pt idx="81">
                <c:v>Mar 2026 25-Mar</c:v>
              </c:pt>
              <c:pt idx="82">
                <c:v>Mar 2026 26-Mar</c:v>
              </c:pt>
              <c:pt idx="83">
                <c:v>Mar 2026 27-Mar</c:v>
              </c:pt>
              <c:pt idx="84">
                <c:v>Mar 2026 28-Mar</c:v>
              </c:pt>
              <c:pt idx="85">
                <c:v>Mar 2026 29-Mar</c:v>
              </c:pt>
              <c:pt idx="86">
                <c:v>Mar 2026 30-Mar</c:v>
              </c:pt>
              <c:pt idx="87">
                <c:v>Mar 2026 31-Mar</c:v>
              </c:pt>
              <c:pt idx="88">
                <c:v>Apr 2026 1-Apr</c:v>
              </c:pt>
              <c:pt idx="89">
                <c:v>Apr 2026 2-Apr</c:v>
              </c:pt>
              <c:pt idx="90">
                <c:v>Apr 2026 3-Apr</c:v>
              </c:pt>
              <c:pt idx="91">
                <c:v>Apr 2026 4-Apr</c:v>
              </c:pt>
              <c:pt idx="92">
                <c:v>Apr 2026 5-Apr</c:v>
              </c:pt>
              <c:pt idx="93">
                <c:v>Apr 2026 6-Apr</c:v>
              </c:pt>
              <c:pt idx="94">
                <c:v>Apr 2026 7-Apr</c:v>
              </c:pt>
              <c:pt idx="95">
                <c:v>Apr 2026 8-Apr</c:v>
              </c:pt>
              <c:pt idx="96">
                <c:v>Apr 2026 9-Apr</c:v>
              </c:pt>
              <c:pt idx="97">
                <c:v>Apr 2026 10-Apr</c:v>
              </c:pt>
              <c:pt idx="98">
                <c:v>Apr 2026 11-Apr</c:v>
              </c:pt>
              <c:pt idx="99">
                <c:v>Apr 2026 12-Apr</c:v>
              </c:pt>
            </c:strLit>
          </c:cat>
          <c:val>
            <c:numLit>
              <c:formatCode>General</c:formatCode>
              <c:ptCount val="100"/>
              <c:pt idx="0">
                <c:v>6000</c:v>
              </c:pt>
              <c:pt idx="1">
                <c:v>30000</c:v>
              </c:pt>
              <c:pt idx="2">
                <c:v>60000</c:v>
              </c:pt>
              <c:pt idx="3">
                <c:v>12000</c:v>
              </c:pt>
              <c:pt idx="4">
                <c:v>42000</c:v>
              </c:pt>
              <c:pt idx="5">
                <c:v>19600</c:v>
              </c:pt>
              <c:pt idx="6">
                <c:v>11200</c:v>
              </c:pt>
              <c:pt idx="7">
                <c:v>14202</c:v>
              </c:pt>
              <c:pt idx="8">
                <c:v>31941</c:v>
              </c:pt>
              <c:pt idx="9">
                <c:v>11725</c:v>
              </c:pt>
              <c:pt idx="10">
                <c:v>6712</c:v>
              </c:pt>
              <c:pt idx="11">
                <c:v>46046</c:v>
              </c:pt>
              <c:pt idx="12">
                <c:v>18536</c:v>
              </c:pt>
              <c:pt idx="13">
                <c:v>73525</c:v>
              </c:pt>
              <c:pt idx="14">
                <c:v>91360</c:v>
              </c:pt>
              <c:pt idx="15">
                <c:v>38448</c:v>
              </c:pt>
              <c:pt idx="16">
                <c:v>34307</c:v>
              </c:pt>
              <c:pt idx="17">
                <c:v>10374</c:v>
              </c:pt>
              <c:pt idx="18">
                <c:v>9824</c:v>
              </c:pt>
              <c:pt idx="19">
                <c:v>16180</c:v>
              </c:pt>
              <c:pt idx="20">
                <c:v>73008</c:v>
              </c:pt>
              <c:pt idx="21">
                <c:v>42210</c:v>
              </c:pt>
              <c:pt idx="22">
                <c:v>18536</c:v>
              </c:pt>
              <c:pt idx="23">
                <c:v>51975</c:v>
              </c:pt>
              <c:pt idx="24">
                <c:v>25950</c:v>
              </c:pt>
              <c:pt idx="25">
                <c:v>27616</c:v>
              </c:pt>
              <c:pt idx="26">
                <c:v>28107</c:v>
              </c:pt>
              <c:pt idx="27">
                <c:v>3325</c:v>
              </c:pt>
              <c:pt idx="28">
                <c:v>73580</c:v>
              </c:pt>
              <c:pt idx="29">
                <c:v>54910</c:v>
              </c:pt>
              <c:pt idx="30">
                <c:v>24210</c:v>
              </c:pt>
              <c:pt idx="31">
                <c:v>58848</c:v>
              </c:pt>
              <c:pt idx="32">
                <c:v>4434</c:v>
              </c:pt>
              <c:pt idx="33">
                <c:v>28712</c:v>
              </c:pt>
              <c:pt idx="34">
                <c:v>9824</c:v>
              </c:pt>
              <c:pt idx="35">
                <c:v>31311</c:v>
              </c:pt>
              <c:pt idx="36">
                <c:v>4404</c:v>
              </c:pt>
              <c:pt idx="37">
                <c:v>16608</c:v>
              </c:pt>
              <c:pt idx="38">
                <c:v>62257</c:v>
              </c:pt>
              <c:pt idx="39">
                <c:v>60639</c:v>
              </c:pt>
              <c:pt idx="40">
                <c:v>84204</c:v>
              </c:pt>
              <c:pt idx="41">
                <c:v>93780</c:v>
              </c:pt>
              <c:pt idx="42">
                <c:v>18712</c:v>
              </c:pt>
              <c:pt idx="43">
                <c:v>5344</c:v>
              </c:pt>
              <c:pt idx="44">
                <c:v>9456</c:v>
              </c:pt>
              <c:pt idx="45">
                <c:v>13560</c:v>
              </c:pt>
              <c:pt idx="46">
                <c:v>39358</c:v>
              </c:pt>
              <c:pt idx="47">
                <c:v>40170</c:v>
              </c:pt>
              <c:pt idx="48">
                <c:v>5912</c:v>
              </c:pt>
              <c:pt idx="49">
                <c:v>20536</c:v>
              </c:pt>
              <c:pt idx="50">
                <c:v>43101</c:v>
              </c:pt>
              <c:pt idx="51">
                <c:v>15860</c:v>
              </c:pt>
              <c:pt idx="52">
                <c:v>58320</c:v>
              </c:pt>
              <c:pt idx="53">
                <c:v>36270</c:v>
              </c:pt>
              <c:pt idx="54">
                <c:v>92429</c:v>
              </c:pt>
              <c:pt idx="55">
                <c:v>62406</c:v>
              </c:pt>
              <c:pt idx="56">
                <c:v>39296</c:v>
              </c:pt>
              <c:pt idx="57">
                <c:v>10353</c:v>
              </c:pt>
              <c:pt idx="58">
                <c:v>25680</c:v>
              </c:pt>
              <c:pt idx="59">
                <c:v>41580</c:v>
              </c:pt>
              <c:pt idx="60">
                <c:v>65120</c:v>
              </c:pt>
              <c:pt idx="61">
                <c:v>51579</c:v>
              </c:pt>
              <c:pt idx="62">
                <c:v>32112</c:v>
              </c:pt>
              <c:pt idx="63">
                <c:v>41424</c:v>
              </c:pt>
              <c:pt idx="64">
                <c:v>5100</c:v>
              </c:pt>
              <c:pt idx="65">
                <c:v>9435</c:v>
              </c:pt>
              <c:pt idx="66">
                <c:v>8004</c:v>
              </c:pt>
              <c:pt idx="67">
                <c:v>49952</c:v>
              </c:pt>
              <c:pt idx="68">
                <c:v>44624</c:v>
              </c:pt>
              <c:pt idx="69">
                <c:v>14742</c:v>
              </c:pt>
              <c:pt idx="70">
                <c:v>24192</c:v>
              </c:pt>
              <c:pt idx="71">
                <c:v>33993</c:v>
              </c:pt>
              <c:pt idx="72">
                <c:v>13998</c:v>
              </c:pt>
              <c:pt idx="73">
                <c:v>6430</c:v>
              </c:pt>
              <c:pt idx="74">
                <c:v>70170</c:v>
              </c:pt>
              <c:pt idx="75">
                <c:v>62604</c:v>
              </c:pt>
              <c:pt idx="76">
                <c:v>64430</c:v>
              </c:pt>
              <c:pt idx="77">
                <c:v>86811</c:v>
              </c:pt>
              <c:pt idx="78">
                <c:v>11780</c:v>
              </c:pt>
              <c:pt idx="79">
                <c:v>8792</c:v>
              </c:pt>
              <c:pt idx="80">
                <c:v>23742</c:v>
              </c:pt>
              <c:pt idx="81">
                <c:v>15000</c:v>
              </c:pt>
              <c:pt idx="82">
                <c:v>7554</c:v>
              </c:pt>
              <c:pt idx="83">
                <c:v>113300</c:v>
              </c:pt>
              <c:pt idx="84">
                <c:v>24550</c:v>
              </c:pt>
              <c:pt idx="85">
                <c:v>51330</c:v>
              </c:pt>
              <c:pt idx="86">
                <c:v>42389</c:v>
              </c:pt>
              <c:pt idx="87">
                <c:v>67170</c:v>
              </c:pt>
              <c:pt idx="88">
                <c:v>73848</c:v>
              </c:pt>
              <c:pt idx="89">
                <c:v>16029</c:v>
              </c:pt>
              <c:pt idx="90">
                <c:v>8644</c:v>
              </c:pt>
              <c:pt idx="91">
                <c:v>13380</c:v>
              </c:pt>
              <c:pt idx="92">
                <c:v>13386</c:v>
              </c:pt>
              <c:pt idx="93">
                <c:v>19236</c:v>
              </c:pt>
              <c:pt idx="94">
                <c:v>32103</c:v>
              </c:pt>
              <c:pt idx="95">
                <c:v>21615</c:v>
              </c:pt>
              <c:pt idx="96">
                <c:v>18536</c:v>
              </c:pt>
              <c:pt idx="97">
                <c:v>57072</c:v>
              </c:pt>
              <c:pt idx="98">
                <c:v>61572</c:v>
              </c:pt>
              <c:pt idx="99">
                <c:v>65010</c:v>
              </c:pt>
            </c:numLit>
          </c:val>
          <c:smooth val="0"/>
          <c:extLst>
            <c:ext xmlns:c16="http://schemas.microsoft.com/office/drawing/2014/chart" uri="{C3380CC4-5D6E-409C-BE32-E72D297353CC}">
              <c16:uniqueId val="{00000000-0911-4F6E-8E71-DEB55DB3950B}"/>
            </c:ext>
          </c:extLst>
        </c:ser>
        <c:dLbls>
          <c:showLegendKey val="0"/>
          <c:showVal val="0"/>
          <c:showCatName val="0"/>
          <c:showSerName val="0"/>
          <c:showPercent val="0"/>
          <c:showBubbleSize val="0"/>
        </c:dLbls>
        <c:smooth val="0"/>
        <c:axId val="1391734832"/>
        <c:axId val="1391726192"/>
      </c:lineChart>
      <c:catAx>
        <c:axId val="13917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1726192"/>
        <c:crosses val="autoZero"/>
        <c:auto val="1"/>
        <c:lblAlgn val="ctr"/>
        <c:lblOffset val="100"/>
        <c:noMultiLvlLbl val="0"/>
      </c:catAx>
      <c:valAx>
        <c:axId val="139172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1734832"/>
        <c:crosses val="autoZero"/>
        <c:crossBetween val="between"/>
      </c:valAx>
      <c:spPr>
        <a:solidFill>
          <a:schemeClr val="tx2">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 &amp; Customer_Segmentation_Tool.xlsx]Pivot_Table!PivotTable2</c:name>
    <c:fmtId val="11"/>
  </c:pivotSource>
  <c:chart>
    <c:title>
      <c:tx>
        <c:strRef>
          <c:f>Pivot_Table!$A$22:$B$22</c:f>
          <c:strCache>
            <c:ptCount val="2"/>
            <c:pt idx="0">
              <c:v>Channel Performance</c:v>
            </c:pt>
          </c:strCache>
        </c:strRef>
      </c:tx>
      <c:overlay val="0"/>
      <c:spPr>
        <a:solidFill>
          <a:schemeClr val="tx2">
            <a:lumMod val="40000"/>
            <a:lumOff val="60000"/>
          </a:schemeClr>
        </a:solid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1636168111643334E-2"/>
                  <c:h val="9.8764166421046087E-2"/>
                </c:manualLayout>
              </c15:layout>
            </c:ext>
          </c:extLst>
        </c:dLbl>
      </c:pivotFmt>
      <c:pivotFmt>
        <c:idx val="7"/>
        <c:spPr>
          <a:solidFill>
            <a:schemeClr val="accent1"/>
          </a:solidFill>
          <a:ln w="25400">
            <a:solidFill>
              <a:schemeClr val="lt1"/>
            </a:solidFill>
          </a:ln>
          <a:effectLst/>
          <a:sp3d contourW="25400">
            <a:contourClr>
              <a:schemeClr val="lt1"/>
            </a:contourClr>
          </a:sp3d>
        </c:spPr>
        <c:dLbl>
          <c:idx val="0"/>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7628396163753864E-2"/>
                  <c:h val="0.13052032910136621"/>
                </c:manualLayout>
              </c15:layout>
            </c:ext>
          </c:extLst>
        </c:dLbl>
      </c:pivotFmt>
      <c:pivotFmt>
        <c:idx val="8"/>
        <c:spPr>
          <a:solidFill>
            <a:schemeClr val="accent1"/>
          </a:solidFill>
          <a:ln w="25400">
            <a:solidFill>
              <a:schemeClr val="lt1"/>
            </a:solidFill>
          </a:ln>
          <a:effectLst/>
          <a:sp3d contourW="25400">
            <a:contourClr>
              <a:schemeClr val="lt1"/>
            </a:contourClr>
          </a:sp3d>
        </c:spPr>
        <c:dLbl>
          <c:idx val="0"/>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037643780157364E-2"/>
                  <c:h val="0.122581288431286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88888888888889"/>
          <c:y val="0.19118362600986463"/>
          <c:w val="0.67013888888888884"/>
          <c:h val="0.68701589384660255"/>
        </c:manualLayout>
      </c:layout>
      <c:pie3DChart>
        <c:varyColors val="1"/>
        <c:ser>
          <c:idx val="0"/>
          <c:order val="0"/>
          <c:tx>
            <c:strRef>
              <c:f>Pivot_Table!$A$22:$B$22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53-4A8B-9665-F9E8D8AD89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53-4A8B-9665-F9E8D8AD89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53-4A8B-9665-F9E8D8AD89A7}"/>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7.1636168111643334E-2"/>
                      <c:h val="9.8764166421046087E-2"/>
                    </c:manualLayout>
                  </c15:layout>
                </c:ext>
                <c:ext xmlns:c16="http://schemas.microsoft.com/office/drawing/2014/chart" uri="{C3380CC4-5D6E-409C-BE32-E72D297353CC}">
                  <c16:uniqueId val="{00000001-5053-4A8B-9665-F9E8D8AD89A7}"/>
                </c:ext>
              </c:extLst>
            </c:dLbl>
            <c:dLbl>
              <c:idx val="1"/>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7628396163753864E-2"/>
                      <c:h val="0.13052032910136621"/>
                    </c:manualLayout>
                  </c15:layout>
                </c:ext>
                <c:ext xmlns:c16="http://schemas.microsoft.com/office/drawing/2014/chart" uri="{C3380CC4-5D6E-409C-BE32-E72D297353CC}">
                  <c16:uniqueId val="{00000003-5053-4A8B-9665-F9E8D8AD89A7}"/>
                </c:ext>
              </c:extLst>
            </c:dLbl>
            <c:dLbl>
              <c:idx val="2"/>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037643780157364E-2"/>
                      <c:h val="0.1225812884312862"/>
                    </c:manualLayout>
                  </c15:layout>
                </c:ext>
                <c:ext xmlns:c16="http://schemas.microsoft.com/office/drawing/2014/chart" uri="{C3380CC4-5D6E-409C-BE32-E72D297353CC}">
                  <c16:uniqueId val="{00000005-5053-4A8B-9665-F9E8D8AD89A7}"/>
                </c:ext>
              </c:extLst>
            </c:dLbl>
            <c:spPr>
              <a:solidFill>
                <a:srgbClr val="46464A">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Pivot_Table!$A$22:$B$22</c:f>
              <c:strCache>
                <c:ptCount val="3"/>
                <c:pt idx="0">
                  <c:v>od</c:v>
                </c:pt>
                <c:pt idx="1">
                  <c:v>Offline</c:v>
                </c:pt>
                <c:pt idx="2">
                  <c:v>Online</c:v>
                </c:pt>
              </c:strCache>
            </c:strRef>
          </c:cat>
          <c:val>
            <c:numRef>
              <c:f>Pivot_Table!$A$22:$B$22</c:f>
              <c:numCache>
                <c:formatCode>General</c:formatCode>
                <c:ptCount val="3"/>
                <c:pt idx="0">
                  <c:v>42210</c:v>
                </c:pt>
                <c:pt idx="1">
                  <c:v>1649658</c:v>
                </c:pt>
                <c:pt idx="2">
                  <c:v>1799661</c:v>
                </c:pt>
              </c:numCache>
            </c:numRef>
          </c:val>
          <c:extLst>
            <c:ext xmlns:c16="http://schemas.microsoft.com/office/drawing/2014/chart" uri="{C3380CC4-5D6E-409C-BE32-E72D297353CC}">
              <c16:uniqueId val="{00000006-5053-4A8B-9665-F9E8D8AD89A7}"/>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66844</xdr:rowOff>
    </xdr:from>
    <xdr:to>
      <xdr:col>4</xdr:col>
      <xdr:colOff>454925</xdr:colOff>
      <xdr:row>25</xdr:row>
      <xdr:rowOff>141532</xdr:rowOff>
    </xdr:to>
    <xdr:graphicFrame macro="">
      <xdr:nvGraphicFramePr>
        <xdr:cNvPr id="2" name="Chart 1">
          <a:extLst>
            <a:ext uri="{FF2B5EF4-FFF2-40B4-BE49-F238E27FC236}">
              <a16:creationId xmlns:a16="http://schemas.microsoft.com/office/drawing/2014/main" id="{ECC94693-2C57-4238-B31C-7CA18279E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147852</xdr:colOff>
      <xdr:row>6</xdr:row>
      <xdr:rowOff>82507</xdr:rowOff>
    </xdr:from>
    <xdr:to>
      <xdr:col>10</xdr:col>
      <xdr:colOff>386687</xdr:colOff>
      <xdr:row>25</xdr:row>
      <xdr:rowOff>155599</xdr:rowOff>
    </xdr:to>
    <xdr:graphicFrame macro="">
      <xdr:nvGraphicFramePr>
        <xdr:cNvPr id="3" name="Chart 2">
          <a:extLst>
            <a:ext uri="{FF2B5EF4-FFF2-40B4-BE49-F238E27FC236}">
              <a16:creationId xmlns:a16="http://schemas.microsoft.com/office/drawing/2014/main" id="{C9BB98CE-CDD6-4B9A-8990-C4F086FA8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118182</xdr:colOff>
      <xdr:row>27</xdr:row>
      <xdr:rowOff>46537</xdr:rowOff>
    </xdr:from>
    <xdr:to>
      <xdr:col>4</xdr:col>
      <xdr:colOff>254001</xdr:colOff>
      <xdr:row>48</xdr:row>
      <xdr:rowOff>157238</xdr:rowOff>
    </xdr:to>
    <xdr:graphicFrame macro="">
      <xdr:nvGraphicFramePr>
        <xdr:cNvPr id="4" name="Chart 3">
          <a:extLst>
            <a:ext uri="{FF2B5EF4-FFF2-40B4-BE49-F238E27FC236}">
              <a16:creationId xmlns:a16="http://schemas.microsoft.com/office/drawing/2014/main" id="{7F912868-9343-462D-923A-811C1C915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459619</xdr:colOff>
      <xdr:row>27</xdr:row>
      <xdr:rowOff>26836</xdr:rowOff>
    </xdr:from>
    <xdr:to>
      <xdr:col>19</xdr:col>
      <xdr:colOff>201462</xdr:colOff>
      <xdr:row>49</xdr:row>
      <xdr:rowOff>24191</xdr:rowOff>
    </xdr:to>
    <xdr:graphicFrame macro="">
      <xdr:nvGraphicFramePr>
        <xdr:cNvPr id="5" name="Chart 4">
          <a:extLst>
            <a:ext uri="{FF2B5EF4-FFF2-40B4-BE49-F238E27FC236}">
              <a16:creationId xmlns:a16="http://schemas.microsoft.com/office/drawing/2014/main" id="{AD239685-F652-48DF-83A8-3B51866BE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578566</xdr:colOff>
      <xdr:row>2</xdr:row>
      <xdr:rowOff>166633</xdr:rowOff>
    </xdr:from>
    <xdr:to>
      <xdr:col>20</xdr:col>
      <xdr:colOff>541422</xdr:colOff>
      <xdr:row>7</xdr:row>
      <xdr:rowOff>140197</xdr:rowOff>
    </xdr:to>
    <mc:AlternateContent xmlns:mc="http://schemas.openxmlformats.org/markup-compatibility/2006">
      <mc:Choice xmlns:a14="http://schemas.microsoft.com/office/drawing/2010/main" Requires="a14">
        <xdr:graphicFrame macro="">
          <xdr:nvGraphicFramePr>
            <xdr:cNvPr id="6" name="Customer_Segment">
              <a:extLst>
                <a:ext uri="{FF2B5EF4-FFF2-40B4-BE49-F238E27FC236}">
                  <a16:creationId xmlns:a16="http://schemas.microsoft.com/office/drawing/2014/main" id="{5830C4AB-B341-441D-9AF6-5DD4317E379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5046670" y="681230"/>
              <a:ext cx="1951973" cy="118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587995</xdr:colOff>
      <xdr:row>8</xdr:row>
      <xdr:rowOff>6702</xdr:rowOff>
    </xdr:from>
    <xdr:to>
      <xdr:col>20</xdr:col>
      <xdr:colOff>572848</xdr:colOff>
      <xdr:row>15</xdr:row>
      <xdr:rowOff>54562</xdr:rowOff>
    </xdr:to>
    <mc:AlternateContent xmlns:mc="http://schemas.openxmlformats.org/markup-compatibility/2006">
      <mc:Choice xmlns:a14="http://schemas.microsoft.com/office/drawing/2010/main" Requires="a14">
        <xdr:graphicFrame macro="">
          <xdr:nvGraphicFramePr>
            <xdr:cNvPr id="7" name="Purchase_Channel">
              <a:extLst>
                <a:ext uri="{FF2B5EF4-FFF2-40B4-BE49-F238E27FC236}">
                  <a16:creationId xmlns:a16="http://schemas.microsoft.com/office/drawing/2014/main" id="{AD028BD2-6887-4ADF-AFC0-B7BCE8ED6F87}"/>
                </a:ext>
              </a:extLst>
            </xdr:cNvPr>
            <xdr:cNvGraphicFramePr/>
          </xdr:nvGraphicFramePr>
          <xdr:xfrm>
            <a:off x="0" y="0"/>
            <a:ext cx="0" cy="0"/>
          </xdr:xfrm>
          <a:graphic>
            <a:graphicData uri="http://schemas.microsoft.com/office/drawing/2010/slicer">
              <sle:slicer xmlns:sle="http://schemas.microsoft.com/office/drawing/2010/slicer" name="Purchase_Channel"/>
            </a:graphicData>
          </a:graphic>
        </xdr:graphicFrame>
      </mc:Choice>
      <mc:Fallback>
        <xdr:sp macro="" textlink="">
          <xdr:nvSpPr>
            <xdr:cNvPr id="0" name=""/>
            <xdr:cNvSpPr>
              <a:spLocks noTextEdit="1"/>
            </xdr:cNvSpPr>
          </xdr:nvSpPr>
          <xdr:spPr>
            <a:xfrm>
              <a:off x="15056099" y="1906754"/>
              <a:ext cx="1973970" cy="1294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596236</xdr:colOff>
      <xdr:row>15</xdr:row>
      <xdr:rowOff>98124</xdr:rowOff>
    </xdr:from>
    <xdr:to>
      <xdr:col>20</xdr:col>
      <xdr:colOff>560127</xdr:colOff>
      <xdr:row>24</xdr:row>
      <xdr:rowOff>126840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107422EF-F9A6-4E5F-BC65-AAA4B353FE9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064340" y="3245085"/>
              <a:ext cx="1953008" cy="1631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197026</xdr:colOff>
      <xdr:row>2</xdr:row>
      <xdr:rowOff>123022</xdr:rowOff>
    </xdr:from>
    <xdr:to>
      <xdr:col>1</xdr:col>
      <xdr:colOff>344671</xdr:colOff>
      <xdr:row>6</xdr:row>
      <xdr:rowOff>120316</xdr:rowOff>
    </xdr:to>
    <xdr:sp macro="" textlink="">
      <xdr:nvSpPr>
        <xdr:cNvPr id="9" name="Rectangle: Rounded Corners 8">
          <a:extLst>
            <a:ext uri="{FF2B5EF4-FFF2-40B4-BE49-F238E27FC236}">
              <a16:creationId xmlns:a16="http://schemas.microsoft.com/office/drawing/2014/main" id="{B85963DD-8EA5-D6EE-B404-B71A8A2311D3}"/>
            </a:ext>
          </a:extLst>
        </xdr:cNvPr>
        <xdr:cNvSpPr/>
      </xdr:nvSpPr>
      <xdr:spPr>
        <a:xfrm>
          <a:off x="197026" y="664443"/>
          <a:ext cx="2744461" cy="1080136"/>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Costemers</a:t>
          </a:r>
        </a:p>
        <a:p>
          <a:pPr algn="l"/>
          <a:r>
            <a:rPr lang="en-IN" sz="2000" b="1">
              <a:solidFill>
                <a:schemeClr val="tx1"/>
              </a:solidFill>
            </a:rPr>
            <a:t>           </a:t>
          </a:r>
          <a:r>
            <a:rPr lang="en-IN" sz="2000" b="1" baseline="0">
              <a:solidFill>
                <a:schemeClr val="tx1"/>
              </a:solidFill>
            </a:rPr>
            <a:t>     </a:t>
          </a:r>
          <a:r>
            <a:rPr lang="en-IN" sz="2000" b="1">
              <a:solidFill>
                <a:schemeClr val="tx1"/>
              </a:solidFill>
            </a:rPr>
            <a:t>100</a:t>
          </a:r>
        </a:p>
      </xdr:txBody>
    </xdr:sp>
    <xdr:clientData/>
  </xdr:twoCellAnchor>
  <xdr:twoCellAnchor>
    <xdr:from>
      <xdr:col>1</xdr:col>
      <xdr:colOff>368905</xdr:colOff>
      <xdr:row>2</xdr:row>
      <xdr:rowOff>135180</xdr:rowOff>
    </xdr:from>
    <xdr:to>
      <xdr:col>4</xdr:col>
      <xdr:colOff>276939</xdr:colOff>
      <xdr:row>6</xdr:row>
      <xdr:rowOff>80210</xdr:rowOff>
    </xdr:to>
    <xdr:sp macro="" textlink="">
      <xdr:nvSpPr>
        <xdr:cNvPr id="10" name="Rectangle: Rounded Corners 9">
          <a:extLst>
            <a:ext uri="{FF2B5EF4-FFF2-40B4-BE49-F238E27FC236}">
              <a16:creationId xmlns:a16="http://schemas.microsoft.com/office/drawing/2014/main" id="{F35753F2-B789-483F-8F1F-DE5A18B4876A}"/>
            </a:ext>
          </a:extLst>
        </xdr:cNvPr>
        <xdr:cNvSpPr/>
      </xdr:nvSpPr>
      <xdr:spPr>
        <a:xfrm>
          <a:off x="2965721" y="676601"/>
          <a:ext cx="2585060" cy="1027872"/>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1">
              <a:solidFill>
                <a:schemeClr val="tx1"/>
              </a:solidFill>
            </a:rPr>
            <a:t>Total</a:t>
          </a:r>
          <a:r>
            <a:rPr lang="en-IN" sz="2000" b="1" baseline="0">
              <a:solidFill>
                <a:schemeClr val="tx1"/>
              </a:solidFill>
            </a:rPr>
            <a:t> Revenue </a:t>
          </a:r>
        </a:p>
        <a:p>
          <a:pPr algn="l"/>
          <a:r>
            <a:rPr lang="en-IN" sz="2000" b="1" baseline="0">
              <a:solidFill>
                <a:schemeClr val="tx1"/>
              </a:solidFill>
            </a:rPr>
            <a:t>           34,91,521</a:t>
          </a:r>
          <a:endParaRPr lang="en-IN" sz="2000" b="1">
            <a:solidFill>
              <a:schemeClr val="tx1"/>
            </a:solidFill>
          </a:endParaRPr>
        </a:p>
      </xdr:txBody>
    </xdr:sp>
    <xdr:clientData/>
  </xdr:twoCellAnchor>
  <xdr:twoCellAnchor>
    <xdr:from>
      <xdr:col>4</xdr:col>
      <xdr:colOff>321181</xdr:colOff>
      <xdr:row>2</xdr:row>
      <xdr:rowOff>126323</xdr:rowOff>
    </xdr:from>
    <xdr:to>
      <xdr:col>8</xdr:col>
      <xdr:colOff>502346</xdr:colOff>
      <xdr:row>6</xdr:row>
      <xdr:rowOff>100265</xdr:rowOff>
    </xdr:to>
    <xdr:sp macro="" textlink="">
      <xdr:nvSpPr>
        <xdr:cNvPr id="11" name="Rectangle: Rounded Corners 10">
          <a:extLst>
            <a:ext uri="{FF2B5EF4-FFF2-40B4-BE49-F238E27FC236}">
              <a16:creationId xmlns:a16="http://schemas.microsoft.com/office/drawing/2014/main" id="{6B9DD661-832B-4F2D-A59B-E51593742F6D}"/>
            </a:ext>
          </a:extLst>
        </xdr:cNvPr>
        <xdr:cNvSpPr/>
      </xdr:nvSpPr>
      <xdr:spPr>
        <a:xfrm>
          <a:off x="5595023" y="667744"/>
          <a:ext cx="2587481" cy="105678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1">
              <a:solidFill>
                <a:schemeClr val="tx1"/>
              </a:solidFill>
            </a:rPr>
            <a:t>Average</a:t>
          </a:r>
          <a:r>
            <a:rPr lang="en-IN" sz="2000" b="1" baseline="0">
              <a:solidFill>
                <a:schemeClr val="tx1"/>
              </a:solidFill>
            </a:rPr>
            <a:t> Orders</a:t>
          </a:r>
        </a:p>
        <a:p>
          <a:pPr algn="l"/>
          <a:r>
            <a:rPr lang="en-IN" sz="2000" b="1" baseline="0">
              <a:solidFill>
                <a:schemeClr val="tx1"/>
              </a:solidFill>
            </a:rPr>
            <a:t>            3087</a:t>
          </a:r>
          <a:endParaRPr lang="en-IN" sz="2000" b="1">
            <a:solidFill>
              <a:schemeClr val="tx1"/>
            </a:solidFill>
          </a:endParaRPr>
        </a:p>
      </xdr:txBody>
    </xdr:sp>
    <xdr:clientData/>
  </xdr:twoCellAnchor>
  <xdr:twoCellAnchor>
    <xdr:from>
      <xdr:col>8</xdr:col>
      <xdr:colOff>560756</xdr:colOff>
      <xdr:row>2</xdr:row>
      <xdr:rowOff>124209</xdr:rowOff>
    </xdr:from>
    <xdr:to>
      <xdr:col>13</xdr:col>
      <xdr:colOff>143107</xdr:colOff>
      <xdr:row>6</xdr:row>
      <xdr:rowOff>96222</xdr:rowOff>
    </xdr:to>
    <xdr:sp macro="" textlink="">
      <xdr:nvSpPr>
        <xdr:cNvPr id="12" name="Rectangle: Rounded Corners 11">
          <a:extLst>
            <a:ext uri="{FF2B5EF4-FFF2-40B4-BE49-F238E27FC236}">
              <a16:creationId xmlns:a16="http://schemas.microsoft.com/office/drawing/2014/main" id="{1F2D5D4B-829A-4633-A770-CFE244BCFF7E}"/>
            </a:ext>
          </a:extLst>
        </xdr:cNvPr>
        <xdr:cNvSpPr/>
      </xdr:nvSpPr>
      <xdr:spPr>
        <a:xfrm>
          <a:off x="9033741" y="647373"/>
          <a:ext cx="2880560" cy="1018342"/>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a:t>
          </a:r>
          <a:r>
            <a:rPr lang="en-IN" sz="1800" b="1">
              <a:solidFill>
                <a:schemeClr val="tx1"/>
              </a:solidFill>
            </a:rPr>
            <a:t>Premium</a:t>
          </a:r>
          <a:r>
            <a:rPr lang="en-IN" sz="1800" b="1" baseline="0">
              <a:solidFill>
                <a:schemeClr val="tx1"/>
              </a:solidFill>
            </a:rPr>
            <a:t> custumers</a:t>
          </a:r>
          <a:endParaRPr lang="en-IN" sz="1800" b="1">
            <a:solidFill>
              <a:schemeClr val="tx1"/>
            </a:solidFill>
          </a:endParaRPr>
        </a:p>
        <a:p>
          <a:pPr algn="l"/>
          <a:r>
            <a:rPr lang="en-IN" sz="1800" b="1">
              <a:solidFill>
                <a:schemeClr val="tx1"/>
              </a:solidFill>
            </a:rPr>
            <a:t>               37</a:t>
          </a:r>
        </a:p>
      </xdr:txBody>
    </xdr:sp>
    <xdr:clientData/>
  </xdr:twoCellAnchor>
  <xdr:twoCellAnchor>
    <xdr:from>
      <xdr:col>13</xdr:col>
      <xdr:colOff>167152</xdr:colOff>
      <xdr:row>2</xdr:row>
      <xdr:rowOff>183931</xdr:rowOff>
    </xdr:from>
    <xdr:to>
      <xdr:col>17</xdr:col>
      <xdr:colOff>520569</xdr:colOff>
      <xdr:row>6</xdr:row>
      <xdr:rowOff>90238</xdr:rowOff>
    </xdr:to>
    <xdr:sp macro="" textlink="">
      <xdr:nvSpPr>
        <xdr:cNvPr id="13" name="Rectangle: Rounded Corners 12">
          <a:extLst>
            <a:ext uri="{FF2B5EF4-FFF2-40B4-BE49-F238E27FC236}">
              <a16:creationId xmlns:a16="http://schemas.microsoft.com/office/drawing/2014/main" id="{635D774E-3F54-4747-A947-CC7E5821E332}"/>
            </a:ext>
          </a:extLst>
        </xdr:cNvPr>
        <xdr:cNvSpPr/>
      </xdr:nvSpPr>
      <xdr:spPr>
        <a:xfrm>
          <a:off x="11912462" y="709448"/>
          <a:ext cx="2981004" cy="957342"/>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Repeat </a:t>
          </a:r>
          <a:r>
            <a:rPr lang="en-IN" sz="2000" b="1" baseline="0">
              <a:solidFill>
                <a:schemeClr val="tx1"/>
              </a:solidFill>
            </a:rPr>
            <a:t>Customers</a:t>
          </a:r>
        </a:p>
        <a:p>
          <a:pPr algn="l"/>
          <a:r>
            <a:rPr lang="en-IN" sz="2000" b="1" baseline="0">
              <a:solidFill>
                <a:schemeClr val="tx1"/>
              </a:solidFill>
            </a:rPr>
            <a:t>                 53</a:t>
          </a:r>
          <a:endParaRPr lang="en-IN" sz="2000" b="1">
            <a:solidFill>
              <a:schemeClr val="tx1"/>
            </a:solidFill>
          </a:endParaRPr>
        </a:p>
      </xdr:txBody>
    </xdr:sp>
    <xdr:clientData/>
  </xdr:twoCellAnchor>
  <xdr:twoCellAnchor>
    <xdr:from>
      <xdr:col>0</xdr:col>
      <xdr:colOff>34120</xdr:colOff>
      <xdr:row>0</xdr:row>
      <xdr:rowOff>45493</xdr:rowOff>
    </xdr:from>
    <xdr:to>
      <xdr:col>21</xdr:col>
      <xdr:colOff>11374</xdr:colOff>
      <xdr:row>2</xdr:row>
      <xdr:rowOff>79612</xdr:rowOff>
    </xdr:to>
    <xdr:sp macro="" textlink="">
      <xdr:nvSpPr>
        <xdr:cNvPr id="18" name="Rectangle 17">
          <a:extLst>
            <a:ext uri="{FF2B5EF4-FFF2-40B4-BE49-F238E27FC236}">
              <a16:creationId xmlns:a16="http://schemas.microsoft.com/office/drawing/2014/main" id="{780D27D6-862C-C5B0-D34F-DBCEFCE89D64}"/>
            </a:ext>
          </a:extLst>
        </xdr:cNvPr>
        <xdr:cNvSpPr/>
      </xdr:nvSpPr>
      <xdr:spPr>
        <a:xfrm>
          <a:off x="34120" y="45493"/>
          <a:ext cx="17025582" cy="557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rPr>
            <a:t>                           Market Research &amp;</a:t>
          </a:r>
          <a:r>
            <a:rPr lang="en-IN" sz="2800" b="1" baseline="0">
              <a:solidFill>
                <a:schemeClr val="bg1"/>
              </a:solidFill>
            </a:rPr>
            <a:t> Customer Segmentation Dashboard     </a:t>
          </a:r>
          <a:endParaRPr lang="en-IN" sz="2800" b="1">
            <a:solidFill>
              <a:schemeClr val="bg1"/>
            </a:solidFill>
          </a:endParaRPr>
        </a:p>
      </xdr:txBody>
    </xdr:sp>
    <xdr:clientData/>
  </xdr:twoCellAnchor>
  <xdr:twoCellAnchor>
    <xdr:from>
      <xdr:col>10</xdr:col>
      <xdr:colOff>363940</xdr:colOff>
      <xdr:row>7</xdr:row>
      <xdr:rowOff>11373</xdr:rowOff>
    </xdr:from>
    <xdr:to>
      <xdr:col>17</xdr:col>
      <xdr:colOff>318448</xdr:colOff>
      <xdr:row>25</xdr:row>
      <xdr:rowOff>136476</xdr:rowOff>
    </xdr:to>
    <xdr:graphicFrame macro="">
      <xdr:nvGraphicFramePr>
        <xdr:cNvPr id="22" name="Chart 21">
          <a:extLst>
            <a:ext uri="{FF2B5EF4-FFF2-40B4-BE49-F238E27FC236}">
              <a16:creationId xmlns:a16="http://schemas.microsoft.com/office/drawing/2014/main" id="{3C423F81-8190-4BFD-8B86-06936DCCD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63151608796" createdVersion="8" refreshedVersion="8" minRefreshableVersion="3" recordCount="100" xr:uid="{FF926B5E-73B4-4C09-A755-63410219A32C}">
  <cacheSource type="worksheet">
    <worksheetSource name="Table13"/>
  </cacheSource>
  <cacheFields count="19">
    <cacheField name="Customer_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 numFmtId="0">
      <sharedItems containsSemiMixedTypes="0" containsString="0" containsNumber="1" containsInteger="1" minValue="20" maxValue="50"/>
    </cacheField>
    <cacheField name="Gender" numFmtId="0">
      <sharedItems/>
    </cacheField>
    <cacheField name="City" numFmtId="0">
      <sharedItems count="5">
        <s v="Hyderabad"/>
        <s v="Bangalore"/>
        <s v="Chennai"/>
        <s v="Mumbai"/>
        <s v="Delhi"/>
      </sharedItems>
    </cacheField>
    <cacheField name="Income_Level" numFmtId="0">
      <sharedItems containsBlank="1"/>
    </cacheField>
    <cacheField name="Occupation" numFmtId="0">
      <sharedItems/>
    </cacheField>
    <cacheField name="Purchase_Frequency" numFmtId="0">
      <sharedItems containsSemiMixedTypes="0" containsString="0" containsNumber="1" containsInteger="1" minValue="1" maxValue="20"/>
    </cacheField>
    <cacheField name="Avg_Order_Value" numFmtId="0">
      <sharedItems containsSemiMixedTypes="0" containsString="0" containsNumber="1" containsInteger="1" minValue="300" maxValue="5665"/>
    </cacheField>
    <cacheField name="Total_Spending" numFmtId="0">
      <sharedItems containsSemiMixedTypes="0" containsString="0" containsNumber="1" containsInteger="1" minValue="3325" maxValue="113300"/>
    </cacheField>
    <cacheField name="Product_Category" numFmtId="0">
      <sharedItems count="5">
        <s v="Electronics"/>
        <s v="Fashion"/>
        <s v="Beauty"/>
        <s v="Sports"/>
        <s v="Grocery"/>
      </sharedItems>
    </cacheField>
    <cacheField name="Purchase_Channel" numFmtId="0">
      <sharedItems count="3">
        <s v="Online"/>
        <s v="Offline"/>
        <s v="od"/>
      </sharedItems>
    </cacheField>
    <cacheField name="Customer_Type" numFmtId="0">
      <sharedItems/>
    </cacheField>
    <cacheField name="Engagement_Level" numFmtId="0">
      <sharedItems/>
    </cacheField>
    <cacheField name="Discount_Sensitivity" numFmtId="0">
      <sharedItems/>
    </cacheField>
    <cacheField name="Last_Purchase_Date" numFmtId="14">
      <sharedItems containsSemiMixedTypes="0" containsNonDate="0" containsDate="1" containsString="0" minDate="2026-01-03T00:00:00" maxDate="2026-04-13T00:00:00" count="1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sharedItems>
      <fieldGroup par="18"/>
    </cacheField>
    <cacheField name="Customer_Segment" numFmtId="0">
      <sharedItems count="3">
        <s v="Low Value"/>
        <s v="Regular"/>
        <s v="Premium"/>
      </sharedItems>
    </cacheField>
    <cacheField name="Days (Last_Purchase_Date)" numFmtId="0" databaseField="0">
      <fieldGroup base="14">
        <rangePr groupBy="days" startDate="2026-01-03T00:00:00" endDate="2026-04-13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6"/>
        </groupItems>
      </fieldGroup>
    </cacheField>
    <cacheField name="Months (Last_Purchase_Date)" numFmtId="0" databaseField="0">
      <fieldGroup base="14">
        <rangePr groupBy="months" startDate="2026-01-03T00:00:00" endDate="2026-04-13T00:00:00"/>
        <groupItems count="14">
          <s v="&lt;1/3/2026"/>
          <s v="Jan"/>
          <s v="Feb"/>
          <s v="Mar"/>
          <s v="Apr"/>
          <s v="May"/>
          <s v="Jun"/>
          <s v="Jul"/>
          <s v="Aug"/>
          <s v="Sep"/>
          <s v="Oct"/>
          <s v="Nov"/>
          <s v="Dec"/>
          <s v="&gt;4/13/2026"/>
        </groupItems>
      </fieldGroup>
    </cacheField>
    <cacheField name="Years (Last_Purchase_Date)" numFmtId="0" databaseField="0">
      <fieldGroup base="14">
        <rangePr groupBy="years" startDate="2026-01-03T00:00:00" endDate="2026-04-13T00:00:00"/>
        <groupItems count="3">
          <s v="&lt;1/3/2026"/>
          <s v="2026"/>
          <s v="&gt;4/13/2026"/>
        </groupItems>
      </fieldGroup>
    </cacheField>
  </cacheFields>
  <extLst>
    <ext xmlns:x14="http://schemas.microsoft.com/office/spreadsheetml/2009/9/main" uri="{725AE2AE-9491-48be-B2B4-4EB974FC3084}">
      <x14:pivotCacheDefinition pivotCacheId="2068018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25"/>
    <s v="Male"/>
    <x v="0"/>
    <s v="Medium"/>
    <s v="Student"/>
    <n v="5"/>
    <n v="1200"/>
    <n v="6000"/>
    <x v="0"/>
    <x v="0"/>
    <s v="New"/>
    <s v="Medium"/>
    <s v="High"/>
    <x v="0"/>
    <x v="0"/>
  </r>
  <r>
    <x v="1"/>
    <n v="32"/>
    <s v="Female"/>
    <x v="1"/>
    <s v="High"/>
    <s v="IT Employee"/>
    <n v="12"/>
    <n v="2500"/>
    <n v="30000"/>
    <x v="1"/>
    <x v="0"/>
    <s v="Returning"/>
    <s v="High"/>
    <s v="Low"/>
    <x v="1"/>
    <x v="1"/>
  </r>
  <r>
    <x v="2"/>
    <n v="40"/>
    <s v="Male"/>
    <x v="2"/>
    <s v="High"/>
    <s v="Business"/>
    <n v="20"/>
    <n v="3000"/>
    <n v="60000"/>
    <x v="0"/>
    <x v="1"/>
    <s v="Returning"/>
    <s v="High"/>
    <s v="Low"/>
    <x v="2"/>
    <x v="2"/>
  </r>
  <r>
    <x v="3"/>
    <n v="28"/>
    <s v="Female"/>
    <x v="3"/>
    <s v="Medium"/>
    <s v="Teacher"/>
    <n v="8"/>
    <n v="1500"/>
    <n v="12000"/>
    <x v="2"/>
    <x v="0"/>
    <s v="Returning"/>
    <s v="Medium"/>
    <s v="Medium"/>
    <x v="3"/>
    <x v="1"/>
  </r>
  <r>
    <x v="4"/>
    <n v="35"/>
    <s v="Male"/>
    <x v="4"/>
    <s v="High"/>
    <s v="Manager"/>
    <n v="15"/>
    <n v="2800"/>
    <n v="42000"/>
    <x v="0"/>
    <x v="1"/>
    <s v="Returning"/>
    <s v="High"/>
    <s v="Low"/>
    <x v="4"/>
    <x v="2"/>
  </r>
  <r>
    <x v="5"/>
    <n v="21"/>
    <s v="Female"/>
    <x v="3"/>
    <s v="Medium"/>
    <s v="HR"/>
    <n v="7"/>
    <n v="2800"/>
    <n v="19600"/>
    <x v="3"/>
    <x v="0"/>
    <s v="New"/>
    <s v="High"/>
    <s v="High"/>
    <x v="5"/>
    <x v="1"/>
  </r>
  <r>
    <x v="6"/>
    <n v="32"/>
    <s v="Male"/>
    <x v="4"/>
    <s v="High"/>
    <s v="Engineer"/>
    <n v="4"/>
    <n v="2800"/>
    <n v="11200"/>
    <x v="0"/>
    <x v="1"/>
    <s v="Returning"/>
    <s v="Medium"/>
    <s v="Medium"/>
    <x v="6"/>
    <x v="0"/>
  </r>
  <r>
    <x v="7"/>
    <n v="43"/>
    <s v="Female"/>
    <x v="1"/>
    <s v="High"/>
    <s v="Designer"/>
    <n v="6"/>
    <n v="2367"/>
    <n v="14202"/>
    <x v="1"/>
    <x v="0"/>
    <s v="New"/>
    <s v="High"/>
    <s v="Low"/>
    <x v="7"/>
    <x v="1"/>
  </r>
  <r>
    <x v="8"/>
    <n v="34"/>
    <s v="Male"/>
    <x v="0"/>
    <s v="Medium"/>
    <s v="Student"/>
    <n v="7"/>
    <n v="4563"/>
    <n v="31941"/>
    <x v="3"/>
    <x v="1"/>
    <s v="Returning"/>
    <s v="Medium"/>
    <s v="High"/>
    <x v="8"/>
    <x v="1"/>
  </r>
  <r>
    <x v="9"/>
    <n v="23"/>
    <s v="Male"/>
    <x v="3"/>
    <s v="Medium"/>
    <s v="IT Employee"/>
    <n v="5"/>
    <n v="2345"/>
    <n v="11725"/>
    <x v="2"/>
    <x v="0"/>
    <s v="New"/>
    <s v="High"/>
    <s v="Medium"/>
    <x v="9"/>
    <x v="1"/>
  </r>
  <r>
    <x v="10"/>
    <n v="43"/>
    <s v="Female"/>
    <x v="4"/>
    <s v="High"/>
    <s v="Teacher"/>
    <n v="4"/>
    <n v="1678"/>
    <n v="6712"/>
    <x v="0"/>
    <x v="1"/>
    <s v="Returning"/>
    <s v="Medium"/>
    <s v="Low"/>
    <x v="10"/>
    <x v="0"/>
  </r>
  <r>
    <x v="11"/>
    <n v="33"/>
    <s v="Female"/>
    <x v="0"/>
    <s v="Medium"/>
    <s v="Designer"/>
    <n v="13"/>
    <n v="3542"/>
    <n v="46046"/>
    <x v="1"/>
    <x v="1"/>
    <s v="New"/>
    <s v="High"/>
    <s v="Low"/>
    <x v="11"/>
    <x v="2"/>
  </r>
  <r>
    <x v="12"/>
    <n v="41"/>
    <s v="Male"/>
    <x v="2"/>
    <s v="High"/>
    <s v="Manager"/>
    <n v="14"/>
    <n v="1324"/>
    <n v="18536"/>
    <x v="2"/>
    <x v="0"/>
    <s v="Returning"/>
    <s v="Medium"/>
    <s v="Medium"/>
    <x v="12"/>
    <x v="1"/>
  </r>
  <r>
    <x v="13"/>
    <n v="24"/>
    <s v="Female"/>
    <x v="1"/>
    <s v="Medium"/>
    <s v="HR"/>
    <n v="17"/>
    <n v="4325"/>
    <n v="73525"/>
    <x v="0"/>
    <x v="1"/>
    <s v="New"/>
    <s v="High"/>
    <s v="High"/>
    <x v="13"/>
    <x v="2"/>
  </r>
  <r>
    <x v="14"/>
    <n v="44"/>
    <s v="Male"/>
    <x v="0"/>
    <s v="High"/>
    <s v="Manager"/>
    <n v="20"/>
    <n v="4568"/>
    <n v="91360"/>
    <x v="1"/>
    <x v="0"/>
    <s v="Returning"/>
    <s v="Medium"/>
    <s v="Medium"/>
    <x v="14"/>
    <x v="2"/>
  </r>
  <r>
    <x v="15"/>
    <n v="31"/>
    <s v="Female"/>
    <x v="2"/>
    <s v="Medium"/>
    <s v="IT Employee"/>
    <n v="18"/>
    <n v="2136"/>
    <n v="38448"/>
    <x v="3"/>
    <x v="1"/>
    <s v="New"/>
    <s v="High"/>
    <s v="Low"/>
    <x v="15"/>
    <x v="2"/>
  </r>
  <r>
    <x v="16"/>
    <n v="22"/>
    <s v="Male"/>
    <x v="0"/>
    <m/>
    <s v="Student"/>
    <n v="13"/>
    <n v="2639"/>
    <n v="34307"/>
    <x v="2"/>
    <x v="0"/>
    <s v="Returning"/>
    <s v="Medium"/>
    <s v="Medium"/>
    <x v="16"/>
    <x v="1"/>
  </r>
  <r>
    <x v="17"/>
    <n v="39"/>
    <s v="Female"/>
    <x v="4"/>
    <s v="High"/>
    <s v="Teacher"/>
    <n v="3"/>
    <n v="3458"/>
    <n v="10374"/>
    <x v="1"/>
    <x v="1"/>
    <s v="New"/>
    <s v="High"/>
    <s v="Low"/>
    <x v="17"/>
    <x v="1"/>
  </r>
  <r>
    <x v="18"/>
    <n v="28"/>
    <s v="Male"/>
    <x v="3"/>
    <s v="Medium"/>
    <s v="IT Employee"/>
    <n v="4"/>
    <n v="2456"/>
    <n v="9824"/>
    <x v="0"/>
    <x v="0"/>
    <s v="Returning"/>
    <s v="Medium"/>
    <s v="High"/>
    <x v="18"/>
    <x v="0"/>
  </r>
  <r>
    <x v="19"/>
    <n v="30"/>
    <s v="Female"/>
    <x v="1"/>
    <s v="Medium"/>
    <s v="Manager"/>
    <n v="5"/>
    <n v="3236"/>
    <n v="16180"/>
    <x v="2"/>
    <x v="1"/>
    <s v="Returning"/>
    <s v="High"/>
    <s v="Medium"/>
    <x v="19"/>
    <x v="1"/>
  </r>
  <r>
    <x v="20"/>
    <n v="20"/>
    <s v="Male"/>
    <x v="4"/>
    <s v="High"/>
    <s v="HR"/>
    <n v="16"/>
    <n v="4563"/>
    <n v="73008"/>
    <x v="3"/>
    <x v="0"/>
    <s v="New"/>
    <s v="Medium"/>
    <s v="Low"/>
    <x v="20"/>
    <x v="2"/>
  </r>
  <r>
    <x v="21"/>
    <n v="28"/>
    <s v="Female"/>
    <x v="2"/>
    <s v="High"/>
    <s v="Student"/>
    <n v="18"/>
    <n v="2345"/>
    <n v="42210"/>
    <x v="2"/>
    <x v="2"/>
    <s v="Returning"/>
    <s v="High"/>
    <s v="High"/>
    <x v="21"/>
    <x v="2"/>
  </r>
  <r>
    <x v="22"/>
    <n v="37"/>
    <s v="Male"/>
    <x v="0"/>
    <s v="Medium"/>
    <s v="Business"/>
    <n v="14"/>
    <n v="1324"/>
    <n v="18536"/>
    <x v="0"/>
    <x v="1"/>
    <s v="New"/>
    <s v="Medium"/>
    <s v="Medium"/>
    <x v="22"/>
    <x v="1"/>
  </r>
  <r>
    <x v="23"/>
    <n v="48"/>
    <s v="Female"/>
    <x v="0"/>
    <s v="High"/>
    <s v="Business"/>
    <n v="15"/>
    <n v="3465"/>
    <n v="51975"/>
    <x v="3"/>
    <x v="0"/>
    <s v="New"/>
    <s v="High"/>
    <s v="Low"/>
    <x v="23"/>
    <x v="2"/>
  </r>
  <r>
    <x v="24"/>
    <n v="45"/>
    <s v="Male"/>
    <x v="2"/>
    <s v="Medium"/>
    <s v="HR"/>
    <n v="6"/>
    <n v="4325"/>
    <n v="25950"/>
    <x v="1"/>
    <x v="1"/>
    <s v="New"/>
    <s v="Medium"/>
    <s v="Low"/>
    <x v="24"/>
    <x v="1"/>
  </r>
  <r>
    <x v="25"/>
    <n v="35"/>
    <s v="Female"/>
    <x v="3"/>
    <s v="High"/>
    <s v="Teacher"/>
    <n v="8"/>
    <n v="3452"/>
    <n v="27616"/>
    <x v="0"/>
    <x v="0"/>
    <s v="Returning"/>
    <s v="High"/>
    <s v="Medium"/>
    <x v="25"/>
    <x v="1"/>
  </r>
  <r>
    <x v="26"/>
    <n v="36"/>
    <s v="Male"/>
    <x v="1"/>
    <s v="Medium"/>
    <s v="Manager"/>
    <n v="9"/>
    <n v="3123"/>
    <n v="28107"/>
    <x v="3"/>
    <x v="1"/>
    <s v="Returning"/>
    <s v="Medium"/>
    <s v="High"/>
    <x v="26"/>
    <x v="1"/>
  </r>
  <r>
    <x v="27"/>
    <n v="26"/>
    <s v="Female"/>
    <x v="4"/>
    <s v="High"/>
    <s v="IT Employee"/>
    <n v="1"/>
    <n v="3325"/>
    <n v="3325"/>
    <x v="2"/>
    <x v="0"/>
    <s v="Returning"/>
    <s v="High"/>
    <s v="Medium"/>
    <x v="27"/>
    <x v="1"/>
  </r>
  <r>
    <x v="28"/>
    <n v="36"/>
    <s v="Female"/>
    <x v="3"/>
    <s v="High"/>
    <s v="Student"/>
    <n v="20"/>
    <n v="3679"/>
    <n v="73580"/>
    <x v="1"/>
    <x v="1"/>
    <s v="New"/>
    <s v="Medium"/>
    <s v="Low"/>
    <x v="28"/>
    <x v="2"/>
  </r>
  <r>
    <x v="29"/>
    <n v="48"/>
    <s v="Male"/>
    <x v="2"/>
    <s v="Medium"/>
    <s v="HR"/>
    <n v="19"/>
    <n v="2890"/>
    <n v="54910"/>
    <x v="0"/>
    <x v="0"/>
    <s v="Returning"/>
    <s v="High"/>
    <s v="Low"/>
    <x v="29"/>
    <x v="2"/>
  </r>
  <r>
    <x v="30"/>
    <n v="49"/>
    <s v="Female"/>
    <x v="0"/>
    <s v="High"/>
    <s v="Teacher"/>
    <n v="18"/>
    <n v="1345"/>
    <n v="24210"/>
    <x v="3"/>
    <x v="1"/>
    <s v="New"/>
    <s v="Medium"/>
    <s v="Medium"/>
    <x v="30"/>
    <x v="1"/>
  </r>
  <r>
    <x v="31"/>
    <n v="36"/>
    <s v="Male"/>
    <x v="1"/>
    <s v="Medium"/>
    <s v="Manager"/>
    <n v="16"/>
    <n v="3678"/>
    <n v="58848"/>
    <x v="2"/>
    <x v="0"/>
    <s v="Returning"/>
    <s v="High"/>
    <s v="High"/>
    <x v="31"/>
    <x v="2"/>
  </r>
  <r>
    <x v="32"/>
    <n v="50"/>
    <s v="Female"/>
    <x v="3"/>
    <s v="High"/>
    <s v="Business"/>
    <n v="3"/>
    <n v="1478"/>
    <n v="4434"/>
    <x v="1"/>
    <x v="1"/>
    <s v="New"/>
    <s v="Medium"/>
    <s v="Medium"/>
    <x v="32"/>
    <x v="0"/>
  </r>
  <r>
    <x v="33"/>
    <n v="32"/>
    <s v="Male"/>
    <x v="2"/>
    <s v="Medium"/>
    <s v="IT Employee"/>
    <n v="8"/>
    <n v="3589"/>
    <n v="28712"/>
    <x v="4"/>
    <x v="0"/>
    <s v="Returning"/>
    <s v="High"/>
    <s v="Low"/>
    <x v="33"/>
    <x v="1"/>
  </r>
  <r>
    <x v="34"/>
    <n v="37"/>
    <s v="Female"/>
    <x v="4"/>
    <s v="High"/>
    <s v="Teacher"/>
    <n v="4"/>
    <n v="2456"/>
    <n v="9824"/>
    <x v="1"/>
    <x v="1"/>
    <s v="New"/>
    <s v="Medium"/>
    <s v="High"/>
    <x v="34"/>
    <x v="0"/>
  </r>
  <r>
    <x v="35"/>
    <n v="48"/>
    <s v="Male"/>
    <x v="0"/>
    <s v="Medium"/>
    <s v="Student"/>
    <n v="9"/>
    <n v="3479"/>
    <n v="31311"/>
    <x v="4"/>
    <x v="0"/>
    <s v="Returning"/>
    <s v="High"/>
    <s v="Medium"/>
    <x v="35"/>
    <x v="1"/>
  </r>
  <r>
    <x v="36"/>
    <n v="39"/>
    <s v="Male"/>
    <x v="0"/>
    <s v="High"/>
    <s v="Manager"/>
    <n v="3"/>
    <n v="1468"/>
    <n v="4404"/>
    <x v="0"/>
    <x v="1"/>
    <s v="New"/>
    <s v="Medium"/>
    <s v="Low"/>
    <x v="36"/>
    <x v="0"/>
  </r>
  <r>
    <x v="37"/>
    <n v="26"/>
    <s v="Female"/>
    <x v="2"/>
    <s v="High"/>
    <s v="Business"/>
    <n v="6"/>
    <n v="2768"/>
    <n v="16608"/>
    <x v="2"/>
    <x v="0"/>
    <s v="Returning"/>
    <s v="High"/>
    <s v="High"/>
    <x v="37"/>
    <x v="1"/>
  </r>
  <r>
    <x v="38"/>
    <n v="39"/>
    <s v="Male"/>
    <x v="4"/>
    <s v="Medium"/>
    <s v="Designer"/>
    <n v="13"/>
    <n v="4789"/>
    <n v="62257"/>
    <x v="3"/>
    <x v="1"/>
    <s v="New"/>
    <s v="Medium"/>
    <s v="Medium"/>
    <x v="38"/>
    <x v="1"/>
  </r>
  <r>
    <x v="39"/>
    <n v="45"/>
    <s v="Female"/>
    <x v="3"/>
    <s v="Medium"/>
    <s v="Engineer"/>
    <n v="17"/>
    <n v="3567"/>
    <n v="60639"/>
    <x v="1"/>
    <x v="0"/>
    <s v="Returning"/>
    <s v="High"/>
    <s v="Low"/>
    <x v="39"/>
    <x v="2"/>
  </r>
  <r>
    <x v="40"/>
    <n v="35"/>
    <s v="Male"/>
    <x v="0"/>
    <s v="High"/>
    <s v="Designer"/>
    <n v="18"/>
    <n v="4678"/>
    <n v="84204"/>
    <x v="4"/>
    <x v="1"/>
    <s v="New"/>
    <s v="Medium"/>
    <s v="High"/>
    <x v="40"/>
    <x v="2"/>
  </r>
  <r>
    <x v="41"/>
    <n v="27"/>
    <s v="Female"/>
    <x v="1"/>
    <s v="Medium"/>
    <s v="Engineer"/>
    <n v="20"/>
    <n v="4689"/>
    <n v="93780"/>
    <x v="2"/>
    <x v="0"/>
    <s v="Returning"/>
    <s v="High"/>
    <s v="Medium"/>
    <x v="41"/>
    <x v="2"/>
  </r>
  <r>
    <x v="42"/>
    <n v="37"/>
    <s v="Male"/>
    <x v="3"/>
    <s v="High"/>
    <s v="Designer"/>
    <n v="4"/>
    <n v="4678"/>
    <n v="18712"/>
    <x v="3"/>
    <x v="1"/>
    <s v="New"/>
    <s v="Medium"/>
    <s v="Low"/>
    <x v="42"/>
    <x v="1"/>
  </r>
  <r>
    <x v="43"/>
    <n v="48"/>
    <s v="Female"/>
    <x v="2"/>
    <s v="Medium"/>
    <s v="Engineer"/>
    <n v="2"/>
    <n v="2672"/>
    <n v="5344"/>
    <x v="0"/>
    <x v="1"/>
    <s v="Returning"/>
    <s v="High"/>
    <s v="High"/>
    <x v="43"/>
    <x v="1"/>
  </r>
  <r>
    <x v="44"/>
    <n v="50"/>
    <s v="Male"/>
    <x v="4"/>
    <s v="High"/>
    <s v="Student"/>
    <n v="12"/>
    <n v="788"/>
    <n v="9456"/>
    <x v="4"/>
    <x v="0"/>
    <s v="New"/>
    <s v="Medium"/>
    <s v="Medium"/>
    <x v="44"/>
    <x v="1"/>
  </r>
  <r>
    <x v="45"/>
    <n v="20"/>
    <s v="Male"/>
    <x v="0"/>
    <s v="Medium"/>
    <s v="Business"/>
    <n v="10"/>
    <n v="1356"/>
    <n v="13560"/>
    <x v="2"/>
    <x v="0"/>
    <s v="Returning"/>
    <s v="High"/>
    <s v="Low"/>
    <x v="45"/>
    <x v="1"/>
  </r>
  <r>
    <x v="46"/>
    <n v="37"/>
    <s v="Female"/>
    <x v="1"/>
    <s v="High"/>
    <s v="HR"/>
    <n v="11"/>
    <n v="3578"/>
    <n v="39358"/>
    <x v="0"/>
    <x v="1"/>
    <s v="New"/>
    <s v="Medium"/>
    <s v="Low"/>
    <x v="46"/>
    <x v="1"/>
  </r>
  <r>
    <x v="47"/>
    <n v="50"/>
    <s v="Male"/>
    <x v="2"/>
    <s v="Medium"/>
    <s v="Teacher"/>
    <n v="15"/>
    <n v="2678"/>
    <n v="40170"/>
    <x v="2"/>
    <x v="1"/>
    <s v="Returning"/>
    <s v="High"/>
    <s v="Medium"/>
    <x v="47"/>
    <x v="2"/>
  </r>
  <r>
    <x v="48"/>
    <n v="20"/>
    <s v="Female"/>
    <x v="0"/>
    <s v="High"/>
    <s v="Engineer"/>
    <n v="4"/>
    <n v="1478"/>
    <n v="5912"/>
    <x v="3"/>
    <x v="0"/>
    <s v="New"/>
    <s v="Medium"/>
    <s v="High"/>
    <x v="48"/>
    <x v="0"/>
  </r>
  <r>
    <x v="49"/>
    <n v="30"/>
    <s v="Female"/>
    <x v="4"/>
    <s v="Medium"/>
    <s v="Designer"/>
    <n v="8"/>
    <n v="2567"/>
    <n v="20536"/>
    <x v="4"/>
    <x v="1"/>
    <s v="Returning"/>
    <s v="High"/>
    <s v="Medium"/>
    <x v="49"/>
    <x v="1"/>
  </r>
  <r>
    <x v="50"/>
    <n v="40"/>
    <s v="Male"/>
    <x v="3"/>
    <s v="High"/>
    <s v="HR"/>
    <n v="9"/>
    <n v="4789"/>
    <n v="43101"/>
    <x v="1"/>
    <x v="0"/>
    <s v="New"/>
    <s v="Medium"/>
    <s v="Low"/>
    <x v="50"/>
    <x v="1"/>
  </r>
  <r>
    <x v="51"/>
    <n v="25"/>
    <s v="Male"/>
    <x v="4"/>
    <s v="Medium"/>
    <s v="Manager"/>
    <n v="4"/>
    <n v="3965"/>
    <n v="15860"/>
    <x v="2"/>
    <x v="1"/>
    <s v="Returning"/>
    <s v="High"/>
    <s v="High"/>
    <x v="51"/>
    <x v="1"/>
  </r>
  <r>
    <x v="52"/>
    <n v="45"/>
    <s v="Female"/>
    <x v="0"/>
    <s v="High"/>
    <s v="Business"/>
    <n v="16"/>
    <n v="3645"/>
    <n v="58320"/>
    <x v="3"/>
    <x v="0"/>
    <s v="New"/>
    <s v="Medium"/>
    <s v="High"/>
    <x v="52"/>
    <x v="2"/>
  </r>
  <r>
    <x v="53"/>
    <n v="50"/>
    <s v="Female"/>
    <x v="3"/>
    <s v="Medium"/>
    <s v="Business"/>
    <n v="13"/>
    <n v="2790"/>
    <n v="36270"/>
    <x v="0"/>
    <x v="0"/>
    <s v="Returning"/>
    <s v="High"/>
    <s v="Medium"/>
    <x v="53"/>
    <x v="1"/>
  </r>
  <r>
    <x v="54"/>
    <n v="20"/>
    <s v="Male"/>
    <x v="1"/>
    <s v="High"/>
    <s v="HR"/>
    <n v="17"/>
    <n v="5437"/>
    <n v="92429"/>
    <x v="4"/>
    <x v="0"/>
    <s v="New"/>
    <s v="Medium"/>
    <s v="Low"/>
    <x v="54"/>
    <x v="2"/>
  </r>
  <r>
    <x v="55"/>
    <n v="31"/>
    <s v="Female"/>
    <x v="2"/>
    <s v="Medium"/>
    <s v="Student"/>
    <n v="18"/>
    <n v="3467"/>
    <n v="62406"/>
    <x v="1"/>
    <x v="1"/>
    <s v="Returning"/>
    <s v="High"/>
    <s v="Medium"/>
    <x v="55"/>
    <x v="2"/>
  </r>
  <r>
    <x v="56"/>
    <n v="41"/>
    <s v="Male"/>
    <x v="0"/>
    <s v="High"/>
    <s v="Teacher"/>
    <n v="16"/>
    <n v="2456"/>
    <n v="39296"/>
    <x v="3"/>
    <x v="0"/>
    <s v="Returning"/>
    <s v="Medium"/>
    <s v="High"/>
    <x v="56"/>
    <x v="1"/>
  </r>
  <r>
    <x v="57"/>
    <n v="31"/>
    <s v="Female"/>
    <x v="3"/>
    <s v="Medium"/>
    <s v="Engineer"/>
    <n v="7"/>
    <n v="1479"/>
    <n v="10353"/>
    <x v="2"/>
    <x v="1"/>
    <s v="New"/>
    <s v="High"/>
    <s v="Low"/>
    <x v="57"/>
    <x v="1"/>
  </r>
  <r>
    <x v="58"/>
    <n v="36"/>
    <s v="Male"/>
    <x v="1"/>
    <s v="High"/>
    <s v="Designer"/>
    <n v="8"/>
    <n v="3210"/>
    <n v="25680"/>
    <x v="0"/>
    <x v="0"/>
    <s v="Returning"/>
    <s v="Medium"/>
    <s v="Medium"/>
    <x v="58"/>
    <x v="1"/>
  </r>
  <r>
    <x v="59"/>
    <n v="47"/>
    <s v="Female"/>
    <x v="4"/>
    <s v="Medium"/>
    <s v="Business"/>
    <n v="14"/>
    <n v="2970"/>
    <n v="41580"/>
    <x v="4"/>
    <x v="1"/>
    <s v="Returning"/>
    <s v="High"/>
    <s v="High"/>
    <x v="59"/>
    <x v="2"/>
  </r>
  <r>
    <x v="60"/>
    <n v="48"/>
    <s v="Male"/>
    <x v="2"/>
    <s v="Medium"/>
    <s v="Manager"/>
    <n v="20"/>
    <n v="3256"/>
    <n v="65120"/>
    <x v="1"/>
    <x v="0"/>
    <s v="Returning"/>
    <s v="Medium"/>
    <s v="Low"/>
    <x v="60"/>
    <x v="2"/>
  </r>
  <r>
    <x v="61"/>
    <n v="50"/>
    <s v="Female"/>
    <x v="0"/>
    <s v="High"/>
    <s v="HR"/>
    <n v="11"/>
    <n v="4689"/>
    <n v="51579"/>
    <x v="1"/>
    <x v="1"/>
    <s v="New"/>
    <s v="High"/>
    <s v="Medium"/>
    <x v="61"/>
    <x v="2"/>
  </r>
  <r>
    <x v="62"/>
    <n v="26"/>
    <s v="Male"/>
    <x v="4"/>
    <s v="Medium"/>
    <s v="Student"/>
    <n v="9"/>
    <n v="3568"/>
    <n v="32112"/>
    <x v="4"/>
    <x v="0"/>
    <s v="New"/>
    <s v="Medium"/>
    <s v="High"/>
    <x v="62"/>
    <x v="1"/>
  </r>
  <r>
    <x v="63"/>
    <n v="28"/>
    <s v="Female"/>
    <x v="2"/>
    <s v="High"/>
    <s v="Engineer"/>
    <n v="16"/>
    <n v="2589"/>
    <n v="41424"/>
    <x v="0"/>
    <x v="1"/>
    <s v="Returning"/>
    <s v="High"/>
    <s v="Low"/>
    <x v="63"/>
    <x v="2"/>
  </r>
  <r>
    <x v="64"/>
    <n v="39"/>
    <s v="Male"/>
    <x v="1"/>
    <s v="Medium"/>
    <s v="Designer"/>
    <n v="17"/>
    <n v="300"/>
    <n v="5100"/>
    <x v="2"/>
    <x v="0"/>
    <s v="New"/>
    <s v="Medium"/>
    <s v="High"/>
    <x v="64"/>
    <x v="1"/>
  </r>
  <r>
    <x v="65"/>
    <n v="37"/>
    <s v="Male"/>
    <x v="3"/>
    <s v="High"/>
    <s v="Business"/>
    <n v="17"/>
    <n v="555"/>
    <n v="9435"/>
    <x v="0"/>
    <x v="1"/>
    <s v="Returning"/>
    <s v="High"/>
    <s v="Low"/>
    <x v="65"/>
    <x v="1"/>
  </r>
  <r>
    <x v="66"/>
    <n v="39"/>
    <s v="Female"/>
    <x v="2"/>
    <s v="Medium"/>
    <s v="IT Employee"/>
    <n v="12"/>
    <n v="667"/>
    <n v="8004"/>
    <x v="2"/>
    <x v="1"/>
    <s v="New"/>
    <s v="Medium"/>
    <s v="Medium"/>
    <x v="66"/>
    <x v="1"/>
  </r>
  <r>
    <x v="67"/>
    <n v="49"/>
    <s v="Male"/>
    <x v="3"/>
    <s v="High"/>
    <s v="Business"/>
    <n v="14"/>
    <n v="3568"/>
    <n v="49952"/>
    <x v="4"/>
    <x v="0"/>
    <s v="Returning"/>
    <s v="High"/>
    <s v="High"/>
    <x v="67"/>
    <x v="2"/>
  </r>
  <r>
    <x v="68"/>
    <n v="47"/>
    <s v="Female"/>
    <x v="1"/>
    <s v="Medium"/>
    <s v="Teacher"/>
    <n v="16"/>
    <n v="2789"/>
    <n v="44624"/>
    <x v="3"/>
    <x v="0"/>
    <s v="New"/>
    <s v="Medium"/>
    <s v="Medium"/>
    <x v="68"/>
    <x v="2"/>
  </r>
  <r>
    <x v="69"/>
    <n v="46"/>
    <s v="Male"/>
    <x v="4"/>
    <s v="Medium"/>
    <s v="Designer"/>
    <n v="6"/>
    <n v="2457"/>
    <n v="14742"/>
    <x v="0"/>
    <x v="1"/>
    <s v="Returning"/>
    <s v="High"/>
    <s v="High"/>
    <x v="69"/>
    <x v="1"/>
  </r>
  <r>
    <x v="70"/>
    <n v="42"/>
    <s v="Female"/>
    <x v="0"/>
    <s v="High"/>
    <s v="Engineer"/>
    <n v="7"/>
    <n v="3456"/>
    <n v="24192"/>
    <x v="1"/>
    <x v="1"/>
    <s v="New"/>
    <s v="Medium"/>
    <s v="Low"/>
    <x v="70"/>
    <x v="1"/>
  </r>
  <r>
    <x v="71"/>
    <n v="43"/>
    <s v="Male"/>
    <x v="1"/>
    <s v="Medium"/>
    <s v="IT Employee"/>
    <n v="9"/>
    <n v="3777"/>
    <n v="33993"/>
    <x v="2"/>
    <x v="1"/>
    <s v="Returning"/>
    <s v="High"/>
    <s v="Medium"/>
    <x v="71"/>
    <x v="1"/>
  </r>
  <r>
    <x v="72"/>
    <n v="29"/>
    <s v="Female"/>
    <x v="3"/>
    <s v="High"/>
    <s v="Student"/>
    <n v="3"/>
    <n v="4666"/>
    <n v="13998"/>
    <x v="3"/>
    <x v="0"/>
    <s v="New"/>
    <s v="Medium"/>
    <s v="High"/>
    <x v="72"/>
    <x v="0"/>
  </r>
  <r>
    <x v="73"/>
    <n v="49"/>
    <s v="Male"/>
    <x v="0"/>
    <s v="Medium"/>
    <s v="Business"/>
    <n v="2"/>
    <n v="3215"/>
    <n v="6430"/>
    <x v="4"/>
    <x v="1"/>
    <s v="Returning"/>
    <s v="High"/>
    <s v="Medium"/>
    <x v="73"/>
    <x v="1"/>
  </r>
  <r>
    <x v="74"/>
    <n v="47"/>
    <s v="Female"/>
    <x v="4"/>
    <s v="Medium"/>
    <s v="IT Employee"/>
    <n v="15"/>
    <n v="4678"/>
    <n v="70170"/>
    <x v="1"/>
    <x v="0"/>
    <s v="New"/>
    <s v="Medium"/>
    <s v="High"/>
    <x v="74"/>
    <x v="2"/>
  </r>
  <r>
    <x v="75"/>
    <n v="28"/>
    <s v="Male"/>
    <x v="3"/>
    <s v="High"/>
    <s v="Teacher"/>
    <n v="18"/>
    <n v="3478"/>
    <n v="62604"/>
    <x v="4"/>
    <x v="1"/>
    <s v="Returning"/>
    <s v="High"/>
    <s v="Low"/>
    <x v="75"/>
    <x v="2"/>
  </r>
  <r>
    <x v="76"/>
    <n v="49"/>
    <s v="Female"/>
    <x v="2"/>
    <s v="High"/>
    <s v="Business"/>
    <n v="17"/>
    <n v="3790"/>
    <n v="64430"/>
    <x v="2"/>
    <x v="0"/>
    <s v="New"/>
    <s v="High"/>
    <s v="High"/>
    <x v="76"/>
    <x v="2"/>
  </r>
  <r>
    <x v="77"/>
    <n v="41"/>
    <s v="Male"/>
    <x v="4"/>
    <s v="Medium"/>
    <s v="HR"/>
    <n v="19"/>
    <n v="4569"/>
    <n v="86811"/>
    <x v="3"/>
    <x v="1"/>
    <s v="Returning"/>
    <s v="Medium"/>
    <s v="Medium"/>
    <x v="77"/>
    <x v="2"/>
  </r>
  <r>
    <x v="78"/>
    <n v="40"/>
    <s v="Female"/>
    <x v="0"/>
    <s v="High"/>
    <s v="Manager"/>
    <n v="5"/>
    <n v="2356"/>
    <n v="11780"/>
    <x v="0"/>
    <x v="0"/>
    <s v="New"/>
    <s v="High"/>
    <s v="Low"/>
    <x v="78"/>
    <x v="1"/>
  </r>
  <r>
    <x v="79"/>
    <n v="44"/>
    <s v="Male"/>
    <x v="0"/>
    <s v="Medium"/>
    <s v="Student"/>
    <n v="7"/>
    <n v="1256"/>
    <n v="8792"/>
    <x v="2"/>
    <x v="1"/>
    <s v="Returning"/>
    <s v="Medium"/>
    <s v="High"/>
    <x v="79"/>
    <x v="0"/>
  </r>
  <r>
    <x v="80"/>
    <n v="33"/>
    <s v="Male"/>
    <x v="3"/>
    <s v="Medium"/>
    <s v="Designer"/>
    <n v="9"/>
    <n v="2638"/>
    <n v="23742"/>
    <x v="4"/>
    <x v="0"/>
    <s v="Returning"/>
    <s v="High"/>
    <s v="Medium"/>
    <x v="80"/>
    <x v="1"/>
  </r>
  <r>
    <x v="81"/>
    <n v="23"/>
    <s v="Female"/>
    <x v="1"/>
    <s v="High"/>
    <s v="Engineer"/>
    <n v="3"/>
    <n v="5000"/>
    <n v="15000"/>
    <x v="2"/>
    <x v="1"/>
    <s v="New"/>
    <s v="Medium"/>
    <s v="Low"/>
    <x v="81"/>
    <x v="1"/>
  </r>
  <r>
    <x v="82"/>
    <n v="32"/>
    <s v="Male"/>
    <x v="1"/>
    <s v="High"/>
    <s v="Teacher"/>
    <n v="2"/>
    <n v="3777"/>
    <n v="7554"/>
    <x v="0"/>
    <x v="0"/>
    <s v="Returning"/>
    <s v="High"/>
    <s v="High"/>
    <x v="82"/>
    <x v="1"/>
  </r>
  <r>
    <x v="83"/>
    <n v="50"/>
    <s v="Female"/>
    <x v="2"/>
    <s v="Medium"/>
    <s v="Business"/>
    <n v="20"/>
    <n v="5665"/>
    <n v="113300"/>
    <x v="2"/>
    <x v="1"/>
    <s v="New"/>
    <s v="Medium"/>
    <s v="Medium"/>
    <x v="83"/>
    <x v="2"/>
  </r>
  <r>
    <x v="84"/>
    <n v="40"/>
    <s v="Male"/>
    <x v="4"/>
    <s v="High"/>
    <s v="IT Employee"/>
    <n v="10"/>
    <n v="2455"/>
    <n v="24550"/>
    <x v="4"/>
    <x v="1"/>
    <s v="Returning"/>
    <s v="High"/>
    <s v="Low"/>
    <x v="84"/>
    <x v="1"/>
  </r>
  <r>
    <x v="85"/>
    <n v="44"/>
    <s v="Female"/>
    <x v="3"/>
    <s v="Medium"/>
    <s v="HR"/>
    <n v="15"/>
    <n v="3422"/>
    <n v="51330"/>
    <x v="3"/>
    <x v="0"/>
    <s v="New"/>
    <s v="Medium"/>
    <s v="High"/>
    <x v="85"/>
    <x v="2"/>
  </r>
  <r>
    <x v="86"/>
    <n v="22"/>
    <s v="Male"/>
    <x v="4"/>
    <s v="High"/>
    <s v="Manager"/>
    <n v="19"/>
    <n v="2231"/>
    <n v="42389"/>
    <x v="3"/>
    <x v="1"/>
    <s v="Returning"/>
    <s v="High"/>
    <s v="Medium"/>
    <x v="86"/>
    <x v="2"/>
  </r>
  <r>
    <x v="87"/>
    <n v="24"/>
    <s v="Female"/>
    <x v="3"/>
    <s v="Medium"/>
    <s v="Designer"/>
    <n v="15"/>
    <n v="4478"/>
    <n v="67170"/>
    <x v="0"/>
    <x v="0"/>
    <s v="New"/>
    <s v="Medium"/>
    <s v="Low"/>
    <x v="87"/>
    <x v="2"/>
  </r>
  <r>
    <x v="88"/>
    <n v="43"/>
    <s v="Male"/>
    <x v="2"/>
    <s v="High"/>
    <s v="Manager"/>
    <n v="17"/>
    <n v="4344"/>
    <n v="73848"/>
    <x v="2"/>
    <x v="0"/>
    <s v="Returning"/>
    <s v="High"/>
    <s v="High"/>
    <x v="88"/>
    <x v="2"/>
  </r>
  <r>
    <x v="89"/>
    <n v="45"/>
    <s v="Female"/>
    <x v="0"/>
    <s v="Medium"/>
    <s v="HR"/>
    <n v="13"/>
    <n v="1233"/>
    <n v="16029"/>
    <x v="1"/>
    <x v="1"/>
    <s v="New"/>
    <s v="Medium"/>
    <s v="Medium"/>
    <x v="89"/>
    <x v="1"/>
  </r>
  <r>
    <x v="90"/>
    <n v="37"/>
    <s v="Male"/>
    <x v="1"/>
    <s v="High"/>
    <s v="Teacher"/>
    <n v="2"/>
    <n v="4322"/>
    <n v="8644"/>
    <x v="3"/>
    <x v="0"/>
    <s v="Returning"/>
    <s v="High"/>
    <s v="Low"/>
    <x v="90"/>
    <x v="1"/>
  </r>
  <r>
    <x v="91"/>
    <n v="39"/>
    <s v="Female"/>
    <x v="3"/>
    <s v="Medium"/>
    <s v="IT Employee"/>
    <n v="4"/>
    <n v="3345"/>
    <n v="13380"/>
    <x v="4"/>
    <x v="0"/>
    <s v="New"/>
    <s v="Medium"/>
    <s v="Medium"/>
    <x v="91"/>
    <x v="0"/>
  </r>
  <r>
    <x v="92"/>
    <n v="38"/>
    <s v="Female"/>
    <x v="2"/>
    <s v="Medium"/>
    <s v="Engineer"/>
    <n v="6"/>
    <n v="2231"/>
    <n v="13386"/>
    <x v="2"/>
    <x v="1"/>
    <s v="Returning"/>
    <s v="High"/>
    <s v="High"/>
    <x v="92"/>
    <x v="1"/>
  </r>
  <r>
    <x v="93"/>
    <n v="49"/>
    <s v="Male"/>
    <x v="4"/>
    <s v="High"/>
    <s v="Student"/>
    <n v="7"/>
    <n v="2748"/>
    <n v="19236"/>
    <x v="3"/>
    <x v="0"/>
    <s v="New"/>
    <s v="Medium"/>
    <s v="Medium"/>
    <x v="93"/>
    <x v="1"/>
  </r>
  <r>
    <x v="94"/>
    <n v="26"/>
    <s v="Male"/>
    <x v="1"/>
    <s v="High"/>
    <s v="Business"/>
    <n v="9"/>
    <n v="3567"/>
    <n v="32103"/>
    <x v="0"/>
    <x v="1"/>
    <s v="Returning"/>
    <s v="High"/>
    <s v="Low"/>
    <x v="94"/>
    <x v="1"/>
  </r>
  <r>
    <x v="95"/>
    <n v="23"/>
    <s v="Male"/>
    <x v="0"/>
    <s v="Medium"/>
    <s v="Designer"/>
    <n v="5"/>
    <n v="4323"/>
    <n v="21615"/>
    <x v="1"/>
    <x v="0"/>
    <s v="New"/>
    <s v="Medium"/>
    <s v="Low"/>
    <x v="95"/>
    <x v="1"/>
  </r>
  <r>
    <x v="96"/>
    <n v="47"/>
    <s v="Female"/>
    <x v="4"/>
    <s v="High"/>
    <s v="Engineer"/>
    <n v="14"/>
    <n v="1324"/>
    <n v="18536"/>
    <x v="2"/>
    <x v="0"/>
    <s v="Returning"/>
    <s v="High"/>
    <s v="Medium"/>
    <x v="96"/>
    <x v="1"/>
  </r>
  <r>
    <x v="97"/>
    <n v="50"/>
    <s v="Male"/>
    <x v="1"/>
    <s v="Medium"/>
    <s v="HR"/>
    <n v="16"/>
    <n v="3567"/>
    <n v="57072"/>
    <x v="4"/>
    <x v="1"/>
    <s v="New"/>
    <s v="Medium"/>
    <s v="Medium"/>
    <x v="97"/>
    <x v="2"/>
  </r>
  <r>
    <x v="98"/>
    <n v="40"/>
    <s v="Female"/>
    <x v="3"/>
    <s v="High"/>
    <s v="Manager"/>
    <n v="14"/>
    <n v="4398"/>
    <n v="61572"/>
    <x v="0"/>
    <x v="1"/>
    <s v="Returning"/>
    <s v="High"/>
    <s v="High"/>
    <x v="98"/>
    <x v="2"/>
  </r>
  <r>
    <x v="99"/>
    <n v="30"/>
    <s v="Male"/>
    <x v="2"/>
    <s v="Medium"/>
    <s v="Teacher"/>
    <n v="15"/>
    <n v="4334"/>
    <n v="65010"/>
    <x v="1"/>
    <x v="0"/>
    <s v="Returning"/>
    <s v="Medium"/>
    <s v="Medium"/>
    <x v="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4B4009-2E07-4B70-8AE1-A10EA3B3AC4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B28" firstHeaderRow="1" firstDataRow="1" firstDataCol="1"/>
  <pivotFields count="19">
    <pivotField showAll="0"/>
    <pivotField showAll="0"/>
    <pivotField showAll="0"/>
    <pivotField showAll="0">
      <items count="6">
        <item x="1"/>
        <item x="2"/>
        <item x="4"/>
        <item x="0"/>
        <item x="3"/>
        <item t="default"/>
      </items>
    </pivotField>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Sum of Total_Spending" fld="8" baseField="0" baseItem="0"/>
  </dataFields>
  <chartFormats count="11">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92F0D-2224-4C8F-BCCC-BE8896AFC69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9">
    <pivotField dataField="1" showAll="0"/>
    <pivotField showAll="0"/>
    <pivotField showAll="0"/>
    <pivotField showAll="0">
      <items count="6">
        <item x="1"/>
        <item x="2"/>
        <item x="4"/>
        <item x="0"/>
        <item x="3"/>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5"/>
  </rowFields>
  <rowItems count="4">
    <i>
      <x/>
    </i>
    <i>
      <x v="1"/>
    </i>
    <i>
      <x v="2"/>
    </i>
    <i t="grand">
      <x/>
    </i>
  </rowItems>
  <colItems count="1">
    <i/>
  </colItems>
  <dataFields count="1">
    <dataField name="Count of Customer_ID" fld="0" subtotal="count" baseField="15" baseItem="0"/>
  </dataFields>
  <chartFormats count="4">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5" count="1" selected="0">
            <x v="2"/>
          </reference>
        </references>
      </pivotArea>
    </chartFormat>
    <chartFormat chart="15" format="4">
      <pivotArea type="data" outline="0" fieldPosition="0">
        <references count="2">
          <reference field="4294967294" count="1" selected="0">
            <x v="0"/>
          </reference>
          <reference field="15" count="1" selected="0">
            <x v="1"/>
          </reference>
        </references>
      </pivotArea>
    </chartFormat>
    <chartFormat chart="15" format="5">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295F34-4B96-46AB-85DB-974ED3311F9F}"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J18" firstHeaderRow="1" firstDataRow="1" firstDataCol="1"/>
  <pivotFields count="19">
    <pivotField showAll="0"/>
    <pivotField showAll="0"/>
    <pivotField showAll="0"/>
    <pivotField showAll="0">
      <items count="6">
        <item x="1"/>
        <item x="2"/>
        <item x="4"/>
        <item x="0"/>
        <item x="3"/>
        <item t="default"/>
      </items>
    </pivotField>
    <pivotField showAll="0"/>
    <pivotField showAll="0"/>
    <pivotField showAll="0"/>
    <pivotField showAll="0"/>
    <pivotField dataField="1" showAll="0"/>
    <pivotField axis="axisRow" showAll="0">
      <items count="6">
        <item x="2"/>
        <item x="0"/>
        <item x="1"/>
        <item x="4"/>
        <item x="3"/>
        <item t="default"/>
      </items>
    </pivotField>
    <pivotField showAll="0"/>
    <pivotField showAll="0"/>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6">
    <i>
      <x/>
    </i>
    <i>
      <x v="1"/>
    </i>
    <i>
      <x v="2"/>
    </i>
    <i>
      <x v="3"/>
    </i>
    <i>
      <x v="4"/>
    </i>
    <i t="grand">
      <x/>
    </i>
  </rowItems>
  <colItems count="1">
    <i/>
  </colItems>
  <dataFields count="1">
    <dataField name="Sum of Total_Spending"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F5694-4D3A-4EA7-9FA0-6362865DAC7A}"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8" firstHeaderRow="1" firstDataRow="1" firstDataCol="1"/>
  <pivotFields count="19">
    <pivotField dataField="1" showAll="0"/>
    <pivotField showAll="0"/>
    <pivotField showAll="0"/>
    <pivotField axis="axisRow" showAll="0">
      <items count="6">
        <item x="1"/>
        <item x="2"/>
        <item x="4"/>
        <item x="0"/>
        <item x="3"/>
        <item t="default"/>
      </items>
    </pivotField>
    <pivotField showAll="0"/>
    <pivotField showAll="0"/>
    <pivotField showAll="0"/>
    <pivotField showAll="0"/>
    <pivotField showAll="0"/>
    <pivotField showAll="0"/>
    <pivotField showAll="0"/>
    <pivotField showAll="0"/>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i>
    <i>
      <x v="1"/>
    </i>
    <i>
      <x v="2"/>
    </i>
    <i>
      <x v="3"/>
    </i>
    <i>
      <x v="4"/>
    </i>
    <i t="grand">
      <x/>
    </i>
  </rowItems>
  <colItems count="1">
    <i/>
  </colItems>
  <dataFields count="1">
    <dataField name="Count of Customer_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CE6D0E-399C-48FD-A9BA-B357AC2B19A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7" firstHeaderRow="1" firstDataRow="1" firstDataCol="1"/>
  <pivotFields count="19">
    <pivotField showAll="0"/>
    <pivotField showAll="0"/>
    <pivotField showAll="0"/>
    <pivotField showAll="0">
      <items count="6">
        <item x="1"/>
        <item x="2"/>
        <item x="4"/>
        <item x="0"/>
        <item x="3"/>
        <item t="default"/>
      </items>
    </pivotField>
    <pivotField showAll="0"/>
    <pivotField showAll="0"/>
    <pivotField showAll="0"/>
    <pivotField showAll="0"/>
    <pivotField dataField="1" showAll="0"/>
    <pivotField showAll="0"/>
    <pivotField showAll="0"/>
    <pivotField showAll="0"/>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5"/>
  </rowFields>
  <rowItems count="4">
    <i>
      <x/>
    </i>
    <i>
      <x v="1"/>
    </i>
    <i>
      <x v="2"/>
    </i>
    <i t="grand">
      <x/>
    </i>
  </rowItems>
  <colItems count="1">
    <i/>
  </colItems>
  <dataFields count="1">
    <dataField name="Sum of Total_Spending" fld="8" baseField="1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4E56902-2775-4C51-BF8C-AE02F6F2C3D8}" sourceName="Customer_Segment">
  <pivotTables>
    <pivotTable tabId="6" name="PivotTable1"/>
  </pivotTables>
  <data>
    <tabular pivotCacheId="206801841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hannel" xr10:uid="{03153153-5DBC-4894-814B-F1700C2AF9DA}" sourceName="Purchase_Channel">
  <pivotTables>
    <pivotTable tabId="6" name="PivotTable1"/>
  </pivotTables>
  <data>
    <tabular pivotCacheId="206801841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6F440D-E7C8-4756-86BB-AD4DCBA9F86F}" sourceName="City">
  <pivotTables>
    <pivotTable tabId="6" name="PivotTable1"/>
    <pivotTable tabId="6" name="PivotTable8"/>
    <pivotTable tabId="6" name="PivotTable9"/>
    <pivotTable tabId="6" name="PivotTable10"/>
    <pivotTable tabId="6" name="PivotTable2"/>
  </pivotTables>
  <data>
    <tabular pivotCacheId="2068018412">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4F76BF59-6D4E-43E2-BED2-3041080B4F81}" cache="Slicer_Customer_Segment" caption="Customer_Segment" rowHeight="241300"/>
  <slicer name="Purchase_Channel" xr10:uid="{CF11C2E6-BD15-416A-BB37-61C88F5A4D97}" cache="Slicer_Purchase_Channel" caption="Purchase_Channel" rowHeight="241300"/>
  <slicer name="City" xr10:uid="{24D22AA3-07F5-42C8-B37E-F760E5530D26}" cache="Slicer_City" caption="City"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9A1BB7-FBE3-476C-AF20-40A8B33E538E}" name="Table1" displayName="Table1" ref="A1:P101" totalsRowShown="0" headerRowDxfId="38" dataDxfId="37">
  <autoFilter ref="A1:P101" xr:uid="{289A1BB7-FBE3-476C-AF20-40A8B33E538E}"/>
  <tableColumns count="16">
    <tableColumn id="1" xr3:uid="{8B81A4A9-7EB1-4A28-8ED8-6FCF79071796}" name="Customer_ID" dataDxfId="36">
      <calculatedColumnFormula>"C"&amp;TEXT(ROW()-1,"000")</calculatedColumnFormula>
    </tableColumn>
    <tableColumn id="2" xr3:uid="{767FE588-56B2-4080-B244-A82CF617EECF}" name="Age" dataDxfId="35"/>
    <tableColumn id="3" xr3:uid="{966A5C70-8FC1-4521-B95B-8593376A26FA}" name="Gender" dataDxfId="34"/>
    <tableColumn id="4" xr3:uid="{C057648B-5DEB-4FEB-B20E-0F3563C96C13}" name="City" dataDxfId="33"/>
    <tableColumn id="5" xr3:uid="{5BB4B16B-5443-4168-A2A0-64BB0D2AF701}" name="Income_Level" dataDxfId="32"/>
    <tableColumn id="6" xr3:uid="{68E453BD-D27C-4997-BE47-ABAE31B3C85D}" name="Occupation" dataDxfId="31"/>
    <tableColumn id="7" xr3:uid="{4E9B7021-2DC6-49C5-A69E-631DBFDDB2EA}" name="Purchase_Frequency" dataDxfId="30"/>
    <tableColumn id="8" xr3:uid="{84F58554-68B1-47C7-B007-AD992EF113C5}" name="Avg_Order_Value" dataDxfId="29"/>
    <tableColumn id="9" xr3:uid="{5A5C8FBF-1BB0-4AFD-8C9C-847B7D0B615A}" name="Total_Spending" dataDxfId="28">
      <calculatedColumnFormula>G2*H2</calculatedColumnFormula>
    </tableColumn>
    <tableColumn id="10" xr3:uid="{F4A80E44-557E-4A30-915A-BF7EA9415A97}" name="Product_Category" dataDxfId="27"/>
    <tableColumn id="11" xr3:uid="{0A87BC0A-C7C5-46A0-A7B0-FFE4A8570059}" name="Purchase_Channel" dataDxfId="26"/>
    <tableColumn id="12" xr3:uid="{2965660D-D1AB-4D30-9652-F3210261452A}" name="Customer_Type" dataDxfId="25"/>
    <tableColumn id="13" xr3:uid="{1394CE65-4753-4FE5-9F31-88BB2BA44F95}" name="Engagement_Level" dataDxfId="24"/>
    <tableColumn id="14" xr3:uid="{82CFF6DF-A198-44AA-A08C-A0AB957FF4D0}" name="Discount_Sensitivity" dataDxfId="23"/>
    <tableColumn id="15" xr3:uid="{98EDE0B4-9ACA-4986-BE58-D6A769A2FBC3}" name="Last_Purchase_Date" dataDxfId="22"/>
    <tableColumn id="16" xr3:uid="{7DA1546C-5369-44E9-847B-C82C90BE4715}" name="Customer_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8D8EE9-9B48-4C63-ABF5-391ECF9BBF1E}" name="Table13" displayName="Table13" ref="A1:P101" totalsRowShown="0" headerRowDxfId="21" dataDxfId="20">
  <autoFilter ref="A1:P101" xr:uid="{738D8EE9-9B48-4C63-ABF5-391ECF9BBF1E}"/>
  <tableColumns count="16">
    <tableColumn id="1" xr3:uid="{85E8A755-9D9D-4ADC-906F-2CF52C05C37B}" name="Customer_ID" dataDxfId="19">
      <calculatedColumnFormula>"C"&amp;TEXT(ROW()-1,"000")</calculatedColumnFormula>
    </tableColumn>
    <tableColumn id="2" xr3:uid="{AC1A3807-4732-4738-94DE-0843A75B8E83}" name="Age" dataDxfId="18"/>
    <tableColumn id="3" xr3:uid="{314FEFC6-C7CE-41C1-8903-82C2C6496BFF}" name="Gender" dataDxfId="17"/>
    <tableColumn id="4" xr3:uid="{43E23703-4763-4C27-B95D-7D56D40FE336}" name="City" dataDxfId="16"/>
    <tableColumn id="5" xr3:uid="{DB56AE45-7523-42B5-A99A-A7937A6AC185}" name="Income_Level" dataDxfId="15"/>
    <tableColumn id="6" xr3:uid="{C2C0CFB6-BA59-4FBA-86BE-E32A84885BCE}" name="Occupation" dataDxfId="14"/>
    <tableColumn id="7" xr3:uid="{A35D7700-B5A9-44D3-81AE-8CBE5626119B}" name="Purchase_Frequency" dataDxfId="13"/>
    <tableColumn id="8" xr3:uid="{C41D507B-034A-403A-AE71-CD8E792D89F1}" name="Avg_Order_Value" dataDxfId="12"/>
    <tableColumn id="9" xr3:uid="{07EF554D-2756-4B81-AF8C-1FC5CF7C218D}" name="Total_Spending" dataDxfId="11">
      <calculatedColumnFormula>G2*H2</calculatedColumnFormula>
    </tableColumn>
    <tableColumn id="10" xr3:uid="{5B29289C-C3B8-476C-9FFC-6CE5C5ABE44E}" name="Product_Category" dataDxfId="10"/>
    <tableColumn id="11" xr3:uid="{0B39B629-12DA-4348-81AC-AF7143F4A85C}" name="Purchase_Channel" dataDxfId="9"/>
    <tableColumn id="12" xr3:uid="{F1A4F503-7E89-4035-988E-905C7E645928}" name="Customer_Type" dataDxfId="8"/>
    <tableColumn id="13" xr3:uid="{33E840B6-FC73-4A8F-87E1-4576FC2C06D1}" name="Engagement_Level" dataDxfId="7"/>
    <tableColumn id="14" xr3:uid="{0CA2114C-4F56-48A7-B95C-F4E790BFA553}" name="Discount_Sensitivity" dataDxfId="6"/>
    <tableColumn id="15" xr3:uid="{B374AA37-D850-4429-9B66-6971C167B9D7}" name="Last_Purchase_Date" dataDxfId="5"/>
    <tableColumn id="16" xr3:uid="{36548288-4F70-49A9-A9BE-66E332C467ED}" name="Customer_Segment" dataDxfId="4">
      <calculatedColumnFormula>IF(T2&gt;=8,"Premium",IF(T2&gt;=5,"Regular","Low Value"))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0F98A2-A88B-4BF5-B24F-118EFAA19C77}" name="Table3" displayName="Table3" ref="Q1:T101" totalsRowShown="0">
  <autoFilter ref="Q1:T101" xr:uid="{380F98A2-A88B-4BF5-B24F-118EFAA19C77}"/>
  <tableColumns count="4">
    <tableColumn id="1" xr3:uid="{C237016F-85C3-43C1-9824-435E80216ECD}" name="Frequency_Score">
      <calculatedColumnFormula>IF(G2&gt;=15,3,IF(G2&gt;=8,2,1))</calculatedColumnFormula>
    </tableColumn>
    <tableColumn id="2" xr3:uid="{A30145CF-4CF4-45E9-AE39-64E935D30389}" name="Spending_Score">
      <calculatedColumnFormula>IF(I2&gt;=40000,3,IF(I2&gt;=15000,2,1))</calculatedColumnFormula>
    </tableColumn>
    <tableColumn id="3" xr3:uid="{673ED466-A269-4E13-879A-9F2D23C9DA38}" name="Engagement_Score">
      <calculatedColumnFormula>IF(M2="High",3,IF(M2="Medium",2,1))</calculatedColumnFormula>
    </tableColumn>
    <tableColumn id="4" xr3:uid="{20B8D613-2C6D-40B6-AFCB-079B51667BC4}" name="Total_Score">
      <calculatedColumnFormula>Q2+R2+S2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539680-CD08-47AB-8659-BF70AFE636D6}" name="Table8" displayName="Table8" ref="A1:B6" totalsRowShown="0" headerRowDxfId="3" dataDxfId="2">
  <autoFilter ref="A1:B6" xr:uid="{51539680-CD08-47AB-8659-BF70AFE636D6}"/>
  <tableColumns count="2">
    <tableColumn id="1" xr3:uid="{04A9EC02-7ED7-4692-BB92-1CD0B65E4503}" name="KPI" dataDxfId="1"/>
    <tableColumn id="2" xr3:uid="{BA9F93CE-327D-4701-80EE-9BB4FEF2AFF1}" name="Value" dataDxfId="0"/>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2DE-98FF-475C-A359-111E37A74FB1}">
  <dimension ref="A1:P104"/>
  <sheetViews>
    <sheetView topLeftCell="F1" zoomScale="77" zoomScaleNormal="59" workbookViewId="0">
      <selection activeCell="J117" sqref="J117"/>
    </sheetView>
  </sheetViews>
  <sheetFormatPr defaultRowHeight="14.4" x14ac:dyDescent="0.25"/>
  <cols>
    <col min="1" max="1" width="12.296875" customWidth="1"/>
    <col min="2" max="3" width="8.69921875" customWidth="1"/>
    <col min="4" max="4" width="13.8984375" customWidth="1"/>
    <col min="5" max="5" width="14.59765625" customWidth="1"/>
    <col min="6" max="6" width="12.09765625" customWidth="1"/>
    <col min="7" max="7" width="21.3984375" customWidth="1"/>
    <col min="8" max="8" width="19.69921875" customWidth="1"/>
    <col min="9" max="9" width="16.296875" customWidth="1"/>
    <col min="10" max="10" width="16.69921875" customWidth="1"/>
    <col min="11" max="11" width="17.09765625" customWidth="1"/>
    <col min="12" max="12" width="16.09765625" customWidth="1"/>
    <col min="13" max="13" width="19" customWidth="1"/>
    <col min="14" max="14" width="19.296875" customWidth="1"/>
    <col min="15" max="15" width="18.69921875" customWidth="1"/>
    <col min="16" max="16" width="22.5" customWidth="1"/>
  </cols>
  <sheetData>
    <row r="1" spans="1:16" ht="27.6" x14ac:dyDescent="0.25">
      <c r="A1" s="1" t="s">
        <v>3</v>
      </c>
      <c r="B1" s="1" t="s">
        <v>0</v>
      </c>
      <c r="C1" s="1" t="s">
        <v>1</v>
      </c>
      <c r="D1" s="1" t="s">
        <v>4</v>
      </c>
      <c r="E1" s="1" t="s">
        <v>5</v>
      </c>
      <c r="F1" s="1" t="s">
        <v>2</v>
      </c>
      <c r="G1" s="1" t="s">
        <v>6</v>
      </c>
      <c r="H1" s="1" t="s">
        <v>7</v>
      </c>
      <c r="I1" s="1" t="s">
        <v>8</v>
      </c>
      <c r="J1" s="1" t="s">
        <v>9</v>
      </c>
      <c r="K1" s="1" t="s">
        <v>10</v>
      </c>
      <c r="L1" s="1" t="s">
        <v>11</v>
      </c>
      <c r="M1" s="1" t="s">
        <v>12</v>
      </c>
      <c r="N1" s="1" t="s">
        <v>13</v>
      </c>
      <c r="O1" s="1" t="s">
        <v>14</v>
      </c>
      <c r="P1" s="1" t="s">
        <v>15</v>
      </c>
    </row>
    <row r="2" spans="1:16" ht="13.8" x14ac:dyDescent="0.25">
      <c r="A2" s="2" t="str">
        <f>"C"&amp;TEXT(ROW()-1,"000")</f>
        <v>C001</v>
      </c>
      <c r="B2" s="2">
        <v>25</v>
      </c>
      <c r="C2" s="2" t="s">
        <v>16</v>
      </c>
      <c r="D2" s="2" t="s">
        <v>17</v>
      </c>
      <c r="E2" s="2" t="s">
        <v>18</v>
      </c>
      <c r="F2" s="2" t="s">
        <v>19</v>
      </c>
      <c r="G2" s="2">
        <v>5</v>
      </c>
      <c r="H2" s="2">
        <v>1200</v>
      </c>
      <c r="I2" s="2">
        <f>G2*H2</f>
        <v>6000</v>
      </c>
      <c r="J2" s="2" t="s">
        <v>20</v>
      </c>
      <c r="K2" s="2" t="s">
        <v>21</v>
      </c>
      <c r="L2" s="2" t="s">
        <v>22</v>
      </c>
      <c r="M2" s="2" t="s">
        <v>18</v>
      </c>
      <c r="N2" s="2" t="s">
        <v>23</v>
      </c>
      <c r="O2" s="3">
        <v>46025</v>
      </c>
      <c r="P2" s="2"/>
    </row>
    <row r="3" spans="1:16" ht="13.8" x14ac:dyDescent="0.25">
      <c r="A3" s="2" t="str">
        <f t="shared" ref="A3:A66" si="0">"C"&amp;TEXT(ROW()-1,"000")</f>
        <v>C002</v>
      </c>
      <c r="B3" s="2">
        <v>32</v>
      </c>
      <c r="C3" s="2" t="s">
        <v>24</v>
      </c>
      <c r="D3" s="2" t="s">
        <v>25</v>
      </c>
      <c r="E3" s="2" t="s">
        <v>23</v>
      </c>
      <c r="F3" s="2" t="s">
        <v>26</v>
      </c>
      <c r="G3" s="2">
        <v>12</v>
      </c>
      <c r="H3" s="2">
        <v>2500</v>
      </c>
      <c r="I3" s="2">
        <f t="shared" ref="I3:I66" si="1">G3*H3</f>
        <v>30000</v>
      </c>
      <c r="J3" s="2" t="s">
        <v>27</v>
      </c>
      <c r="K3" s="2" t="s">
        <v>21</v>
      </c>
      <c r="L3" s="2" t="s">
        <v>28</v>
      </c>
      <c r="M3" s="2" t="s">
        <v>23</v>
      </c>
      <c r="N3" s="2" t="s">
        <v>29</v>
      </c>
      <c r="O3" s="3">
        <v>46026</v>
      </c>
      <c r="P3" s="2"/>
    </row>
    <row r="4" spans="1:16" ht="13.8" x14ac:dyDescent="0.25">
      <c r="A4" s="2" t="str">
        <f t="shared" si="0"/>
        <v>C003</v>
      </c>
      <c r="B4" s="2">
        <v>40</v>
      </c>
      <c r="C4" s="2" t="s">
        <v>16</v>
      </c>
      <c r="D4" s="2" t="s">
        <v>30</v>
      </c>
      <c r="E4" s="2" t="s">
        <v>23</v>
      </c>
      <c r="F4" s="2" t="s">
        <v>31</v>
      </c>
      <c r="G4" s="2">
        <v>20</v>
      </c>
      <c r="H4" s="2">
        <v>3000</v>
      </c>
      <c r="I4" s="2">
        <f t="shared" si="1"/>
        <v>60000</v>
      </c>
      <c r="J4" s="2" t="s">
        <v>20</v>
      </c>
      <c r="K4" s="2" t="s">
        <v>32</v>
      </c>
      <c r="L4" s="2" t="s">
        <v>28</v>
      </c>
      <c r="M4" s="2" t="s">
        <v>23</v>
      </c>
      <c r="N4" s="2" t="s">
        <v>29</v>
      </c>
      <c r="O4" s="3">
        <v>46027</v>
      </c>
      <c r="P4" s="2"/>
    </row>
    <row r="5" spans="1:16" ht="13.8" x14ac:dyDescent="0.25">
      <c r="A5" s="2" t="str">
        <f t="shared" si="0"/>
        <v>C004</v>
      </c>
      <c r="B5" s="2">
        <v>28</v>
      </c>
      <c r="C5" s="2" t="s">
        <v>24</v>
      </c>
      <c r="D5" s="2" t="s">
        <v>33</v>
      </c>
      <c r="E5" s="2" t="s">
        <v>18</v>
      </c>
      <c r="F5" s="2" t="s">
        <v>34</v>
      </c>
      <c r="G5" s="2">
        <v>8</v>
      </c>
      <c r="H5" s="2">
        <v>1500</v>
      </c>
      <c r="I5" s="2">
        <f t="shared" si="1"/>
        <v>12000</v>
      </c>
      <c r="J5" s="2" t="s">
        <v>35</v>
      </c>
      <c r="K5" s="2" t="s">
        <v>21</v>
      </c>
      <c r="L5" s="2" t="s">
        <v>28</v>
      </c>
      <c r="M5" s="2" t="s">
        <v>18</v>
      </c>
      <c r="N5" s="2" t="s">
        <v>18</v>
      </c>
      <c r="O5" s="3">
        <v>46028</v>
      </c>
      <c r="P5" s="2"/>
    </row>
    <row r="6" spans="1:16" ht="13.8" x14ac:dyDescent="0.25">
      <c r="A6" s="2" t="str">
        <f t="shared" si="0"/>
        <v>C005</v>
      </c>
      <c r="B6" s="2">
        <v>35</v>
      </c>
      <c r="C6" s="2" t="s">
        <v>16</v>
      </c>
      <c r="D6" s="2" t="s">
        <v>36</v>
      </c>
      <c r="E6" s="2" t="s">
        <v>23</v>
      </c>
      <c r="F6" s="2" t="s">
        <v>37</v>
      </c>
      <c r="G6" s="2">
        <v>15</v>
      </c>
      <c r="H6" s="2">
        <v>2800</v>
      </c>
      <c r="I6" s="2">
        <f t="shared" si="1"/>
        <v>42000</v>
      </c>
      <c r="J6" s="2" t="s">
        <v>20</v>
      </c>
      <c r="K6" s="2" t="s">
        <v>32</v>
      </c>
      <c r="L6" s="2" t="s">
        <v>28</v>
      </c>
      <c r="M6" s="2" t="s">
        <v>23</v>
      </c>
      <c r="N6" s="2" t="s">
        <v>29</v>
      </c>
      <c r="O6" s="3">
        <v>46029</v>
      </c>
      <c r="P6" s="2"/>
    </row>
    <row r="7" spans="1:16" ht="13.8" x14ac:dyDescent="0.25">
      <c r="A7" s="2" t="str">
        <f t="shared" si="0"/>
        <v>C006</v>
      </c>
      <c r="B7" s="2">
        <v>21</v>
      </c>
      <c r="C7" s="2" t="s">
        <v>24</v>
      </c>
      <c r="D7" s="2" t="s">
        <v>33</v>
      </c>
      <c r="E7" s="2" t="s">
        <v>18</v>
      </c>
      <c r="F7" s="2" t="s">
        <v>38</v>
      </c>
      <c r="G7" s="2">
        <v>7</v>
      </c>
      <c r="H7" s="2">
        <v>2800</v>
      </c>
      <c r="I7" s="2">
        <f t="shared" si="1"/>
        <v>19600</v>
      </c>
      <c r="J7" s="2" t="s">
        <v>41</v>
      </c>
      <c r="K7" s="2" t="s">
        <v>21</v>
      </c>
      <c r="L7" s="2" t="s">
        <v>22</v>
      </c>
      <c r="M7" s="2" t="s">
        <v>23</v>
      </c>
      <c r="N7" s="2" t="s">
        <v>23</v>
      </c>
      <c r="O7" s="3">
        <v>46030</v>
      </c>
    </row>
    <row r="8" spans="1:16" ht="13.8" x14ac:dyDescent="0.25">
      <c r="A8" s="2" t="str">
        <f t="shared" si="0"/>
        <v>C007</v>
      </c>
      <c r="B8" s="2">
        <v>32</v>
      </c>
      <c r="C8" s="2" t="s">
        <v>16</v>
      </c>
      <c r="D8" s="2" t="s">
        <v>36</v>
      </c>
      <c r="E8" s="2" t="s">
        <v>23</v>
      </c>
      <c r="F8" s="2" t="s">
        <v>39</v>
      </c>
      <c r="G8" s="2">
        <v>4</v>
      </c>
      <c r="H8" s="2">
        <v>2800</v>
      </c>
      <c r="I8" s="2">
        <f t="shared" si="1"/>
        <v>11200</v>
      </c>
      <c r="J8" s="2" t="s">
        <v>20</v>
      </c>
      <c r="K8" s="2" t="s">
        <v>32</v>
      </c>
      <c r="L8" s="2" t="s">
        <v>28</v>
      </c>
      <c r="M8" s="2" t="s">
        <v>18</v>
      </c>
      <c r="N8" s="2" t="s">
        <v>18</v>
      </c>
      <c r="O8" s="3">
        <v>46031</v>
      </c>
    </row>
    <row r="9" spans="1:16" ht="13.8" x14ac:dyDescent="0.25">
      <c r="A9" s="2" t="str">
        <f t="shared" si="0"/>
        <v>C008</v>
      </c>
      <c r="B9" s="2">
        <v>43</v>
      </c>
      <c r="C9" s="2" t="s">
        <v>24</v>
      </c>
      <c r="D9" s="2" t="s">
        <v>25</v>
      </c>
      <c r="E9" s="2" t="s">
        <v>23</v>
      </c>
      <c r="F9" s="2" t="s">
        <v>40</v>
      </c>
      <c r="G9" s="2">
        <v>6</v>
      </c>
      <c r="H9" s="2">
        <v>2367</v>
      </c>
      <c r="I9" s="2">
        <f t="shared" si="1"/>
        <v>14202</v>
      </c>
      <c r="J9" s="2" t="s">
        <v>27</v>
      </c>
      <c r="K9" s="2" t="s">
        <v>21</v>
      </c>
      <c r="L9" s="2" t="s">
        <v>22</v>
      </c>
      <c r="M9" s="2" t="s">
        <v>23</v>
      </c>
      <c r="N9" s="2" t="s">
        <v>29</v>
      </c>
      <c r="O9" s="3">
        <v>46032</v>
      </c>
    </row>
    <row r="10" spans="1:16" ht="13.8" x14ac:dyDescent="0.25">
      <c r="A10" s="2" t="str">
        <f t="shared" si="0"/>
        <v>C009</v>
      </c>
      <c r="B10" s="2">
        <v>34</v>
      </c>
      <c r="C10" s="2" t="s">
        <v>16</v>
      </c>
      <c r="D10" s="2" t="s">
        <v>17</v>
      </c>
      <c r="E10" s="2" t="s">
        <v>18</v>
      </c>
      <c r="F10" s="2" t="s">
        <v>19</v>
      </c>
      <c r="G10" s="2">
        <v>7</v>
      </c>
      <c r="H10" s="2">
        <v>4563</v>
      </c>
      <c r="I10" s="2">
        <f t="shared" si="1"/>
        <v>31941</v>
      </c>
      <c r="J10" s="2" t="s">
        <v>41</v>
      </c>
      <c r="K10" s="2" t="s">
        <v>32</v>
      </c>
      <c r="L10" s="2" t="s">
        <v>28</v>
      </c>
      <c r="M10" s="2" t="s">
        <v>18</v>
      </c>
      <c r="N10" s="2" t="s">
        <v>23</v>
      </c>
      <c r="O10" s="3">
        <v>46033</v>
      </c>
    </row>
    <row r="11" spans="1:16" ht="13.8" x14ac:dyDescent="0.25">
      <c r="A11" s="2" t="str">
        <f t="shared" si="0"/>
        <v>C010</v>
      </c>
      <c r="B11" s="2">
        <v>23</v>
      </c>
      <c r="C11" s="2" t="s">
        <v>16</v>
      </c>
      <c r="D11" s="2" t="s">
        <v>33</v>
      </c>
      <c r="E11" s="2" t="s">
        <v>18</v>
      </c>
      <c r="F11" s="2" t="s">
        <v>26</v>
      </c>
      <c r="G11" s="2">
        <v>5</v>
      </c>
      <c r="H11" s="2">
        <v>2345</v>
      </c>
      <c r="I11" s="2">
        <f t="shared" si="1"/>
        <v>11725</v>
      </c>
      <c r="J11" s="2" t="s">
        <v>35</v>
      </c>
      <c r="K11" s="2" t="s">
        <v>21</v>
      </c>
      <c r="L11" s="2" t="s">
        <v>22</v>
      </c>
      <c r="M11" s="2" t="s">
        <v>23</v>
      </c>
      <c r="N11" s="2" t="s">
        <v>18</v>
      </c>
      <c r="O11" s="3">
        <v>46034</v>
      </c>
    </row>
    <row r="12" spans="1:16" ht="13.8" x14ac:dyDescent="0.25">
      <c r="A12" s="2" t="str">
        <f t="shared" si="0"/>
        <v>C011</v>
      </c>
      <c r="B12" s="2">
        <v>43</v>
      </c>
      <c r="C12" s="2" t="s">
        <v>24</v>
      </c>
      <c r="D12" s="2" t="s">
        <v>36</v>
      </c>
      <c r="E12" s="2" t="s">
        <v>23</v>
      </c>
      <c r="F12" s="2" t="s">
        <v>34</v>
      </c>
      <c r="G12" s="2">
        <v>4</v>
      </c>
      <c r="H12" s="2">
        <v>1678</v>
      </c>
      <c r="I12" s="2">
        <f t="shared" si="1"/>
        <v>6712</v>
      </c>
      <c r="J12" s="2" t="s">
        <v>20</v>
      </c>
      <c r="K12" s="2" t="s">
        <v>32</v>
      </c>
      <c r="L12" s="2" t="s">
        <v>28</v>
      </c>
      <c r="M12" s="2" t="s">
        <v>18</v>
      </c>
      <c r="N12" s="2" t="s">
        <v>29</v>
      </c>
      <c r="O12" s="3">
        <v>46035</v>
      </c>
    </row>
    <row r="13" spans="1:16" ht="13.8" x14ac:dyDescent="0.25">
      <c r="A13" s="2" t="str">
        <f t="shared" si="0"/>
        <v>C012</v>
      </c>
      <c r="B13" s="2">
        <v>33</v>
      </c>
      <c r="C13" s="2" t="s">
        <v>24</v>
      </c>
      <c r="D13" s="2" t="s">
        <v>17</v>
      </c>
      <c r="E13" s="2" t="s">
        <v>18</v>
      </c>
      <c r="F13" s="2" t="s">
        <v>40</v>
      </c>
      <c r="G13" s="2">
        <v>13</v>
      </c>
      <c r="H13" s="2">
        <v>3542</v>
      </c>
      <c r="I13" s="2">
        <f t="shared" si="1"/>
        <v>46046</v>
      </c>
      <c r="J13" s="2" t="s">
        <v>27</v>
      </c>
      <c r="K13" s="2" t="s">
        <v>32</v>
      </c>
      <c r="L13" s="2" t="s">
        <v>22</v>
      </c>
      <c r="M13" s="2" t="s">
        <v>23</v>
      </c>
      <c r="N13" s="2" t="s">
        <v>29</v>
      </c>
      <c r="O13" s="3">
        <v>46036</v>
      </c>
    </row>
    <row r="14" spans="1:16" ht="13.8" x14ac:dyDescent="0.25">
      <c r="A14" s="2" t="str">
        <f t="shared" si="0"/>
        <v>C013</v>
      </c>
      <c r="B14" s="2">
        <v>41</v>
      </c>
      <c r="C14" s="2" t="s">
        <v>16</v>
      </c>
      <c r="D14" s="2" t="s">
        <v>30</v>
      </c>
      <c r="E14" s="2" t="s">
        <v>23</v>
      </c>
      <c r="F14" s="2" t="s">
        <v>37</v>
      </c>
      <c r="G14" s="2">
        <v>14</v>
      </c>
      <c r="H14" s="2">
        <v>1324</v>
      </c>
      <c r="I14" s="2">
        <f t="shared" si="1"/>
        <v>18536</v>
      </c>
      <c r="J14" s="2" t="s">
        <v>35</v>
      </c>
      <c r="K14" s="2" t="s">
        <v>21</v>
      </c>
      <c r="L14" s="2" t="s">
        <v>28</v>
      </c>
      <c r="M14" s="2" t="s">
        <v>18</v>
      </c>
      <c r="N14" s="2" t="s">
        <v>18</v>
      </c>
      <c r="O14" s="3">
        <v>46037</v>
      </c>
    </row>
    <row r="15" spans="1:16" ht="13.8" x14ac:dyDescent="0.25">
      <c r="A15" s="2" t="str">
        <f t="shared" si="0"/>
        <v>C014</v>
      </c>
      <c r="B15" s="2">
        <v>24</v>
      </c>
      <c r="C15" s="2" t="s">
        <v>24</v>
      </c>
      <c r="D15" s="2" t="s">
        <v>25</v>
      </c>
      <c r="E15" s="2" t="s">
        <v>18</v>
      </c>
      <c r="F15" s="2" t="s">
        <v>38</v>
      </c>
      <c r="G15" s="2">
        <v>17</v>
      </c>
      <c r="H15" s="2">
        <v>4325</v>
      </c>
      <c r="I15" s="2">
        <f t="shared" si="1"/>
        <v>73525</v>
      </c>
      <c r="J15" s="2" t="s">
        <v>20</v>
      </c>
      <c r="K15" s="2" t="s">
        <v>32</v>
      </c>
      <c r="L15" s="2" t="s">
        <v>22</v>
      </c>
      <c r="M15" s="2" t="s">
        <v>23</v>
      </c>
      <c r="N15" s="2" t="s">
        <v>23</v>
      </c>
      <c r="O15" s="3">
        <v>46038</v>
      </c>
    </row>
    <row r="16" spans="1:16" ht="13.8" x14ac:dyDescent="0.25">
      <c r="A16" s="2" t="str">
        <f t="shared" si="0"/>
        <v>C015</v>
      </c>
      <c r="B16" s="2">
        <v>44</v>
      </c>
      <c r="C16" s="2" t="s">
        <v>16</v>
      </c>
      <c r="D16" s="2" t="s">
        <v>17</v>
      </c>
      <c r="E16" s="2" t="s">
        <v>23</v>
      </c>
      <c r="F16" s="2" t="s">
        <v>37</v>
      </c>
      <c r="G16" s="2">
        <v>20</v>
      </c>
      <c r="H16" s="2">
        <v>4568</v>
      </c>
      <c r="I16" s="2">
        <f t="shared" si="1"/>
        <v>91360</v>
      </c>
      <c r="J16" s="2" t="s">
        <v>27</v>
      </c>
      <c r="K16" s="2" t="s">
        <v>21</v>
      </c>
      <c r="L16" s="2" t="s">
        <v>28</v>
      </c>
      <c r="M16" s="2" t="s">
        <v>18</v>
      </c>
      <c r="N16" s="2" t="s">
        <v>18</v>
      </c>
      <c r="O16" s="3">
        <v>46039</v>
      </c>
    </row>
    <row r="17" spans="1:15" ht="13.8" x14ac:dyDescent="0.25">
      <c r="A17" s="2" t="str">
        <f t="shared" si="0"/>
        <v>C016</v>
      </c>
      <c r="B17" s="2">
        <v>31</v>
      </c>
      <c r="C17" s="2" t="s">
        <v>24</v>
      </c>
      <c r="D17" s="2" t="s">
        <v>30</v>
      </c>
      <c r="E17" s="2" t="s">
        <v>18</v>
      </c>
      <c r="F17" s="2" t="s">
        <v>26</v>
      </c>
      <c r="G17" s="2">
        <v>18</v>
      </c>
      <c r="H17" s="2">
        <v>2136</v>
      </c>
      <c r="I17" s="2">
        <f t="shared" si="1"/>
        <v>38448</v>
      </c>
      <c r="J17" s="2" t="s">
        <v>41</v>
      </c>
      <c r="K17" s="2" t="s">
        <v>32</v>
      </c>
      <c r="L17" s="2" t="s">
        <v>22</v>
      </c>
      <c r="M17" s="2" t="s">
        <v>23</v>
      </c>
      <c r="N17" s="2" t="s">
        <v>29</v>
      </c>
      <c r="O17" s="3">
        <v>46040</v>
      </c>
    </row>
    <row r="18" spans="1:15" ht="13.8" x14ac:dyDescent="0.25">
      <c r="A18" s="2" t="str">
        <f t="shared" si="0"/>
        <v>C017</v>
      </c>
      <c r="B18" s="2">
        <v>22</v>
      </c>
      <c r="C18" s="2" t="s">
        <v>16</v>
      </c>
      <c r="D18" s="2" t="s">
        <v>17</v>
      </c>
      <c r="F18" s="2" t="s">
        <v>19</v>
      </c>
      <c r="G18" s="2">
        <v>13</v>
      </c>
      <c r="H18" s="2">
        <v>2639</v>
      </c>
      <c r="I18" s="2">
        <f t="shared" si="1"/>
        <v>34307</v>
      </c>
      <c r="J18" s="2" t="s">
        <v>35</v>
      </c>
      <c r="K18" s="2" t="s">
        <v>21</v>
      </c>
      <c r="L18" s="2" t="s">
        <v>28</v>
      </c>
      <c r="M18" s="2" t="s">
        <v>18</v>
      </c>
      <c r="N18" s="2" t="s">
        <v>18</v>
      </c>
      <c r="O18" s="3">
        <v>46041</v>
      </c>
    </row>
    <row r="19" spans="1:15" ht="13.8" x14ac:dyDescent="0.25">
      <c r="A19" s="2" t="str">
        <f t="shared" si="0"/>
        <v>C018</v>
      </c>
      <c r="B19" s="2">
        <v>39</v>
      </c>
      <c r="C19" s="2" t="s">
        <v>24</v>
      </c>
      <c r="D19" s="2" t="s">
        <v>36</v>
      </c>
      <c r="E19" s="2" t="s">
        <v>23</v>
      </c>
      <c r="F19" s="2" t="s">
        <v>34</v>
      </c>
      <c r="G19" s="2">
        <v>3</v>
      </c>
      <c r="H19" s="2">
        <v>3458</v>
      </c>
      <c r="I19" s="2">
        <f t="shared" si="1"/>
        <v>10374</v>
      </c>
      <c r="J19" s="2" t="s">
        <v>27</v>
      </c>
      <c r="K19" s="2" t="s">
        <v>32</v>
      </c>
      <c r="L19" s="2" t="s">
        <v>22</v>
      </c>
      <c r="M19" s="2" t="s">
        <v>23</v>
      </c>
      <c r="N19" s="2" t="s">
        <v>29</v>
      </c>
      <c r="O19" s="3">
        <v>46042</v>
      </c>
    </row>
    <row r="20" spans="1:15" ht="13.8" x14ac:dyDescent="0.25">
      <c r="A20" s="2" t="str">
        <f t="shared" si="0"/>
        <v>C019</v>
      </c>
      <c r="B20" s="2">
        <v>28</v>
      </c>
      <c r="C20" s="2" t="s">
        <v>16</v>
      </c>
      <c r="D20" s="2" t="s">
        <v>33</v>
      </c>
      <c r="E20" s="2" t="s">
        <v>18</v>
      </c>
      <c r="F20" s="2" t="s">
        <v>26</v>
      </c>
      <c r="G20" s="2">
        <v>4</v>
      </c>
      <c r="H20" s="2">
        <v>2456</v>
      </c>
      <c r="I20" s="2">
        <f t="shared" si="1"/>
        <v>9824</v>
      </c>
      <c r="J20" s="2" t="s">
        <v>20</v>
      </c>
      <c r="K20" s="2" t="s">
        <v>21</v>
      </c>
      <c r="L20" s="2" t="s">
        <v>28</v>
      </c>
      <c r="M20" s="2" t="s">
        <v>18</v>
      </c>
      <c r="N20" s="2" t="s">
        <v>23</v>
      </c>
      <c r="O20" s="3">
        <v>46043</v>
      </c>
    </row>
    <row r="21" spans="1:15" ht="13.8" x14ac:dyDescent="0.25">
      <c r="A21" s="2" t="str">
        <f t="shared" si="0"/>
        <v>C020</v>
      </c>
      <c r="B21" s="2">
        <v>30</v>
      </c>
      <c r="C21" s="2" t="s">
        <v>24</v>
      </c>
      <c r="D21" s="2" t="s">
        <v>25</v>
      </c>
      <c r="E21" s="2" t="s">
        <v>18</v>
      </c>
      <c r="F21" s="2" t="s">
        <v>37</v>
      </c>
      <c r="G21" s="2">
        <v>5</v>
      </c>
      <c r="H21" s="2">
        <v>3236</v>
      </c>
      <c r="I21" s="2">
        <f t="shared" si="1"/>
        <v>16180</v>
      </c>
      <c r="J21" s="2" t="s">
        <v>35</v>
      </c>
      <c r="K21" s="2" t="s">
        <v>32</v>
      </c>
      <c r="L21" s="2" t="s">
        <v>28</v>
      </c>
      <c r="M21" s="2" t="s">
        <v>23</v>
      </c>
      <c r="N21" s="2" t="s">
        <v>18</v>
      </c>
      <c r="O21" s="3">
        <v>46044</v>
      </c>
    </row>
    <row r="22" spans="1:15" ht="13.8" x14ac:dyDescent="0.25">
      <c r="A22" s="2" t="str">
        <f t="shared" si="0"/>
        <v>C021</v>
      </c>
      <c r="B22" s="2">
        <v>20</v>
      </c>
      <c r="C22" s="2" t="s">
        <v>16</v>
      </c>
      <c r="D22" s="2" t="s">
        <v>36</v>
      </c>
      <c r="E22" s="2" t="s">
        <v>23</v>
      </c>
      <c r="F22" s="2" t="s">
        <v>38</v>
      </c>
      <c r="G22" s="2">
        <v>16</v>
      </c>
      <c r="H22" s="2">
        <v>4563</v>
      </c>
      <c r="I22" s="2">
        <f t="shared" si="1"/>
        <v>73008</v>
      </c>
      <c r="J22" s="2" t="s">
        <v>41</v>
      </c>
      <c r="K22" s="2" t="s">
        <v>21</v>
      </c>
      <c r="L22" s="2" t="s">
        <v>22</v>
      </c>
      <c r="M22" s="2" t="s">
        <v>18</v>
      </c>
      <c r="N22" s="2" t="s">
        <v>29</v>
      </c>
      <c r="O22" s="3">
        <v>46045</v>
      </c>
    </row>
    <row r="23" spans="1:15" ht="13.8" x14ac:dyDescent="0.25">
      <c r="A23" s="2" t="str">
        <f t="shared" si="0"/>
        <v>C022</v>
      </c>
      <c r="B23" s="2">
        <v>28</v>
      </c>
      <c r="C23" s="2" t="s">
        <v>24</v>
      </c>
      <c r="D23" s="2" t="s">
        <v>30</v>
      </c>
      <c r="E23" s="2" t="s">
        <v>23</v>
      </c>
      <c r="F23" s="2" t="s">
        <v>19</v>
      </c>
      <c r="G23" s="2">
        <v>18</v>
      </c>
      <c r="H23" s="2">
        <v>2345</v>
      </c>
      <c r="I23" s="2">
        <f t="shared" si="1"/>
        <v>42210</v>
      </c>
      <c r="J23" s="2" t="s">
        <v>35</v>
      </c>
      <c r="K23" s="2" t="s">
        <v>43</v>
      </c>
      <c r="L23" s="2" t="s">
        <v>28</v>
      </c>
      <c r="M23" s="2" t="s">
        <v>23</v>
      </c>
      <c r="N23" s="2" t="s">
        <v>23</v>
      </c>
      <c r="O23" s="3">
        <v>46046</v>
      </c>
    </row>
    <row r="24" spans="1:15" ht="13.8" x14ac:dyDescent="0.25">
      <c r="A24" s="2" t="str">
        <f t="shared" si="0"/>
        <v>C023</v>
      </c>
      <c r="B24" s="2">
        <v>37</v>
      </c>
      <c r="C24" s="2" t="s">
        <v>16</v>
      </c>
      <c r="D24" s="2" t="s">
        <v>17</v>
      </c>
      <c r="E24" s="2" t="s">
        <v>18</v>
      </c>
      <c r="F24" s="2" t="s">
        <v>31</v>
      </c>
      <c r="G24" s="2">
        <v>14</v>
      </c>
      <c r="H24" s="2">
        <v>1324</v>
      </c>
      <c r="I24" s="2">
        <f t="shared" si="1"/>
        <v>18536</v>
      </c>
      <c r="J24" s="2" t="s">
        <v>20</v>
      </c>
      <c r="K24" s="2" t="s">
        <v>32</v>
      </c>
      <c r="L24" t="s">
        <v>22</v>
      </c>
      <c r="M24" s="2" t="s">
        <v>18</v>
      </c>
      <c r="N24" s="2" t="s">
        <v>18</v>
      </c>
      <c r="O24" s="3">
        <v>46047</v>
      </c>
    </row>
    <row r="25" spans="1:15" ht="13.8" x14ac:dyDescent="0.25">
      <c r="A25" s="2" t="str">
        <f t="shared" si="0"/>
        <v>C024</v>
      </c>
      <c r="B25" s="2">
        <v>48</v>
      </c>
      <c r="C25" s="2" t="s">
        <v>24</v>
      </c>
      <c r="D25" s="2" t="s">
        <v>17</v>
      </c>
      <c r="E25" s="2" t="s">
        <v>23</v>
      </c>
      <c r="F25" s="2" t="s">
        <v>31</v>
      </c>
      <c r="G25" s="2">
        <v>15</v>
      </c>
      <c r="H25" s="2">
        <v>3465</v>
      </c>
      <c r="I25" s="2">
        <f t="shared" si="1"/>
        <v>51975</v>
      </c>
      <c r="J25" s="2" t="s">
        <v>41</v>
      </c>
      <c r="K25" s="2" t="s">
        <v>21</v>
      </c>
      <c r="L25" s="2" t="s">
        <v>22</v>
      </c>
      <c r="M25" s="2" t="s">
        <v>23</v>
      </c>
      <c r="N25" s="2" t="s">
        <v>29</v>
      </c>
      <c r="O25" s="3">
        <v>46048</v>
      </c>
    </row>
    <row r="26" spans="1:15" ht="13.8" x14ac:dyDescent="0.25">
      <c r="A26" s="2" t="str">
        <f t="shared" si="0"/>
        <v>C025</v>
      </c>
      <c r="B26" s="2">
        <v>45</v>
      </c>
      <c r="C26" s="2" t="s">
        <v>16</v>
      </c>
      <c r="D26" s="2" t="s">
        <v>30</v>
      </c>
      <c r="E26" s="2" t="s">
        <v>18</v>
      </c>
      <c r="F26" s="2" t="s">
        <v>38</v>
      </c>
      <c r="G26" s="2">
        <v>6</v>
      </c>
      <c r="H26" s="2">
        <v>4325</v>
      </c>
      <c r="I26" s="2">
        <f t="shared" si="1"/>
        <v>25950</v>
      </c>
      <c r="J26" s="2" t="s">
        <v>27</v>
      </c>
      <c r="K26" s="2" t="s">
        <v>32</v>
      </c>
      <c r="L26" t="s">
        <v>22</v>
      </c>
      <c r="M26" s="2" t="s">
        <v>18</v>
      </c>
      <c r="N26" s="2" t="s">
        <v>29</v>
      </c>
      <c r="O26" s="3">
        <v>46049</v>
      </c>
    </row>
    <row r="27" spans="1:15" ht="13.8" x14ac:dyDescent="0.25">
      <c r="A27" s="2" t="str">
        <f t="shared" si="0"/>
        <v>C026</v>
      </c>
      <c r="B27" s="2">
        <v>35</v>
      </c>
      <c r="C27" s="2" t="s">
        <v>24</v>
      </c>
      <c r="D27" s="2" t="s">
        <v>33</v>
      </c>
      <c r="E27" s="2" t="s">
        <v>23</v>
      </c>
      <c r="F27" s="2" t="s">
        <v>34</v>
      </c>
      <c r="G27" s="2">
        <v>8</v>
      </c>
      <c r="H27" s="2">
        <v>3452</v>
      </c>
      <c r="I27" s="2">
        <f t="shared" si="1"/>
        <v>27616</v>
      </c>
      <c r="J27" s="2" t="s">
        <v>20</v>
      </c>
      <c r="K27" s="2" t="s">
        <v>21</v>
      </c>
      <c r="L27" s="2" t="s">
        <v>28</v>
      </c>
      <c r="M27" s="2" t="s">
        <v>23</v>
      </c>
      <c r="N27" s="2" t="s">
        <v>18</v>
      </c>
      <c r="O27" s="3">
        <v>46050</v>
      </c>
    </row>
    <row r="28" spans="1:15" ht="13.8" x14ac:dyDescent="0.25">
      <c r="A28" s="2" t="str">
        <f t="shared" si="0"/>
        <v>C027</v>
      </c>
      <c r="B28" s="2">
        <v>36</v>
      </c>
      <c r="C28" s="2" t="s">
        <v>16</v>
      </c>
      <c r="D28" s="2" t="s">
        <v>25</v>
      </c>
      <c r="E28" s="2" t="s">
        <v>18</v>
      </c>
      <c r="F28" s="2" t="s">
        <v>37</v>
      </c>
      <c r="G28" s="2">
        <v>9</v>
      </c>
      <c r="H28" s="2">
        <v>3123</v>
      </c>
      <c r="I28" s="2">
        <f t="shared" si="1"/>
        <v>28107</v>
      </c>
      <c r="J28" s="2" t="s">
        <v>41</v>
      </c>
      <c r="K28" s="2" t="s">
        <v>32</v>
      </c>
      <c r="L28" t="s">
        <v>28</v>
      </c>
      <c r="M28" s="2" t="s">
        <v>18</v>
      </c>
      <c r="N28" s="2" t="s">
        <v>23</v>
      </c>
      <c r="O28" s="3">
        <v>46051</v>
      </c>
    </row>
    <row r="29" spans="1:15" ht="13.8" x14ac:dyDescent="0.25">
      <c r="A29" s="2" t="str">
        <f t="shared" si="0"/>
        <v>C028</v>
      </c>
      <c r="B29" s="2">
        <v>26</v>
      </c>
      <c r="C29" s="2" t="s">
        <v>24</v>
      </c>
      <c r="D29" s="2" t="s">
        <v>36</v>
      </c>
      <c r="E29" s="2" t="s">
        <v>23</v>
      </c>
      <c r="F29" s="2" t="s">
        <v>26</v>
      </c>
      <c r="G29" s="2">
        <v>1</v>
      </c>
      <c r="H29" s="2">
        <v>3325</v>
      </c>
      <c r="I29" s="2">
        <f t="shared" si="1"/>
        <v>3325</v>
      </c>
      <c r="J29" s="2" t="s">
        <v>35</v>
      </c>
      <c r="K29" s="2" t="s">
        <v>21</v>
      </c>
      <c r="L29" s="2" t="s">
        <v>28</v>
      </c>
      <c r="M29" s="2" t="s">
        <v>23</v>
      </c>
      <c r="N29" s="2" t="s">
        <v>18</v>
      </c>
      <c r="O29" s="3">
        <v>46052</v>
      </c>
    </row>
    <row r="30" spans="1:15" ht="13.8" x14ac:dyDescent="0.25">
      <c r="A30" s="2" t="str">
        <f t="shared" si="0"/>
        <v>C029</v>
      </c>
      <c r="B30" s="2">
        <v>36</v>
      </c>
      <c r="C30" s="2" t="s">
        <v>24</v>
      </c>
      <c r="D30" s="2" t="s">
        <v>33</v>
      </c>
      <c r="E30" s="2" t="s">
        <v>23</v>
      </c>
      <c r="F30" s="2" t="s">
        <v>19</v>
      </c>
      <c r="G30" s="2">
        <v>20</v>
      </c>
      <c r="H30" s="2">
        <v>3679</v>
      </c>
      <c r="I30" s="2">
        <f t="shared" si="1"/>
        <v>73580</v>
      </c>
      <c r="J30" s="2" t="s">
        <v>27</v>
      </c>
      <c r="K30" s="2" t="s">
        <v>32</v>
      </c>
      <c r="L30" t="s">
        <v>22</v>
      </c>
      <c r="M30" s="2" t="s">
        <v>18</v>
      </c>
      <c r="N30" s="2" t="s">
        <v>29</v>
      </c>
      <c r="O30" s="3">
        <v>46053</v>
      </c>
    </row>
    <row r="31" spans="1:15" ht="13.8" x14ac:dyDescent="0.25">
      <c r="A31" s="2" t="str">
        <f t="shared" si="0"/>
        <v>C030</v>
      </c>
      <c r="B31" s="2">
        <v>48</v>
      </c>
      <c r="C31" s="2" t="s">
        <v>16</v>
      </c>
      <c r="D31" s="2" t="s">
        <v>30</v>
      </c>
      <c r="E31" s="2" t="s">
        <v>18</v>
      </c>
      <c r="F31" s="2" t="s">
        <v>38</v>
      </c>
      <c r="G31" s="2">
        <v>19</v>
      </c>
      <c r="H31" s="2">
        <v>2890</v>
      </c>
      <c r="I31" s="2">
        <f t="shared" si="1"/>
        <v>54910</v>
      </c>
      <c r="J31" s="2" t="s">
        <v>20</v>
      </c>
      <c r="K31" s="2" t="s">
        <v>21</v>
      </c>
      <c r="L31" s="2" t="s">
        <v>28</v>
      </c>
      <c r="M31" s="2" t="s">
        <v>23</v>
      </c>
      <c r="N31" s="2" t="s">
        <v>29</v>
      </c>
      <c r="O31" s="3">
        <v>46054</v>
      </c>
    </row>
    <row r="32" spans="1:15" ht="13.8" x14ac:dyDescent="0.25">
      <c r="A32" s="2" t="str">
        <f t="shared" si="0"/>
        <v>C031</v>
      </c>
      <c r="B32" s="2">
        <v>49</v>
      </c>
      <c r="C32" s="2" t="s">
        <v>24</v>
      </c>
      <c r="D32" s="2" t="s">
        <v>17</v>
      </c>
      <c r="E32" s="2" t="s">
        <v>23</v>
      </c>
      <c r="F32" s="2" t="s">
        <v>34</v>
      </c>
      <c r="G32" s="2">
        <v>18</v>
      </c>
      <c r="H32" s="2">
        <v>1345</v>
      </c>
      <c r="I32" s="2">
        <f>G32*H32</f>
        <v>24210</v>
      </c>
      <c r="J32" s="2" t="s">
        <v>41</v>
      </c>
      <c r="K32" s="2" t="s">
        <v>32</v>
      </c>
      <c r="L32" t="s">
        <v>22</v>
      </c>
      <c r="M32" s="2" t="s">
        <v>18</v>
      </c>
      <c r="N32" s="2" t="s">
        <v>18</v>
      </c>
      <c r="O32" s="3">
        <v>46055</v>
      </c>
    </row>
    <row r="33" spans="1:15" ht="13.8" x14ac:dyDescent="0.25">
      <c r="A33" s="2" t="str">
        <f t="shared" si="0"/>
        <v>C032</v>
      </c>
      <c r="B33" s="2">
        <v>36</v>
      </c>
      <c r="C33" s="2" t="s">
        <v>16</v>
      </c>
      <c r="D33" s="2" t="s">
        <v>25</v>
      </c>
      <c r="E33" s="2" t="s">
        <v>18</v>
      </c>
      <c r="F33" s="2" t="s">
        <v>37</v>
      </c>
      <c r="G33" s="2">
        <v>16</v>
      </c>
      <c r="H33" s="2">
        <v>3678</v>
      </c>
      <c r="I33" s="2">
        <f t="shared" si="1"/>
        <v>58848</v>
      </c>
      <c r="J33" s="2" t="s">
        <v>35</v>
      </c>
      <c r="K33" s="2" t="s">
        <v>21</v>
      </c>
      <c r="L33" s="2" t="s">
        <v>28</v>
      </c>
      <c r="M33" s="2" t="s">
        <v>23</v>
      </c>
      <c r="N33" s="2" t="s">
        <v>23</v>
      </c>
      <c r="O33" s="3">
        <v>46056</v>
      </c>
    </row>
    <row r="34" spans="1:15" ht="13.8" x14ac:dyDescent="0.25">
      <c r="A34" s="2" t="str">
        <f t="shared" si="0"/>
        <v>C033</v>
      </c>
      <c r="B34" s="2">
        <v>50</v>
      </c>
      <c r="C34" s="2" t="s">
        <v>24</v>
      </c>
      <c r="D34" s="2" t="s">
        <v>33</v>
      </c>
      <c r="E34" s="2" t="s">
        <v>23</v>
      </c>
      <c r="F34" s="2" t="s">
        <v>31</v>
      </c>
      <c r="G34" s="2">
        <v>3</v>
      </c>
      <c r="H34" s="2">
        <v>1478</v>
      </c>
      <c r="I34" s="2">
        <f t="shared" si="1"/>
        <v>4434</v>
      </c>
      <c r="J34" s="2" t="s">
        <v>27</v>
      </c>
      <c r="K34" s="2" t="s">
        <v>32</v>
      </c>
      <c r="L34" t="s">
        <v>22</v>
      </c>
      <c r="M34" s="2" t="s">
        <v>18</v>
      </c>
      <c r="N34" s="2" t="s">
        <v>18</v>
      </c>
      <c r="O34" s="3">
        <v>46057</v>
      </c>
    </row>
    <row r="35" spans="1:15" ht="13.8" x14ac:dyDescent="0.25">
      <c r="A35" s="2" t="str">
        <f t="shared" si="0"/>
        <v>C034</v>
      </c>
      <c r="B35" s="2">
        <v>32</v>
      </c>
      <c r="C35" s="2" t="s">
        <v>16</v>
      </c>
      <c r="D35" s="2" t="s">
        <v>30</v>
      </c>
      <c r="E35" s="2" t="s">
        <v>18</v>
      </c>
      <c r="F35" s="2" t="s">
        <v>26</v>
      </c>
      <c r="G35" s="2">
        <v>8</v>
      </c>
      <c r="H35" s="2">
        <v>3589</v>
      </c>
      <c r="I35" s="2">
        <f t="shared" si="1"/>
        <v>28712</v>
      </c>
      <c r="J35" s="2" t="s">
        <v>42</v>
      </c>
      <c r="K35" s="2" t="s">
        <v>21</v>
      </c>
      <c r="L35" s="2" t="s">
        <v>28</v>
      </c>
      <c r="M35" s="2" t="s">
        <v>23</v>
      </c>
      <c r="N35" s="2" t="s">
        <v>29</v>
      </c>
      <c r="O35" s="3">
        <v>46058</v>
      </c>
    </row>
    <row r="36" spans="1:15" ht="13.8" x14ac:dyDescent="0.25">
      <c r="A36" s="2" t="str">
        <f t="shared" si="0"/>
        <v>C035</v>
      </c>
      <c r="B36" s="2">
        <v>37</v>
      </c>
      <c r="C36" s="2" t="s">
        <v>24</v>
      </c>
      <c r="D36" s="2" t="s">
        <v>36</v>
      </c>
      <c r="E36" s="2" t="s">
        <v>23</v>
      </c>
      <c r="F36" s="2" t="s">
        <v>34</v>
      </c>
      <c r="G36" s="2">
        <v>4</v>
      </c>
      <c r="H36" s="2">
        <v>2456</v>
      </c>
      <c r="I36" s="2">
        <f t="shared" si="1"/>
        <v>9824</v>
      </c>
      <c r="J36" s="2" t="s">
        <v>27</v>
      </c>
      <c r="K36" s="2" t="s">
        <v>32</v>
      </c>
      <c r="L36" t="s">
        <v>22</v>
      </c>
      <c r="M36" s="2" t="s">
        <v>18</v>
      </c>
      <c r="N36" s="2" t="s">
        <v>23</v>
      </c>
      <c r="O36" s="3">
        <v>46059</v>
      </c>
    </row>
    <row r="37" spans="1:15" ht="13.8" x14ac:dyDescent="0.25">
      <c r="A37" s="2" t="str">
        <f t="shared" si="0"/>
        <v>C036</v>
      </c>
      <c r="B37" s="2">
        <v>48</v>
      </c>
      <c r="C37" s="2" t="s">
        <v>16</v>
      </c>
      <c r="D37" s="2" t="s">
        <v>17</v>
      </c>
      <c r="E37" s="2" t="s">
        <v>18</v>
      </c>
      <c r="F37" s="2" t="s">
        <v>19</v>
      </c>
      <c r="G37" s="2">
        <v>9</v>
      </c>
      <c r="H37" s="2">
        <v>3479</v>
      </c>
      <c r="I37" s="2">
        <f t="shared" si="1"/>
        <v>31311</v>
      </c>
      <c r="J37" s="2" t="s">
        <v>42</v>
      </c>
      <c r="K37" s="2" t="s">
        <v>21</v>
      </c>
      <c r="L37" s="2" t="s">
        <v>28</v>
      </c>
      <c r="M37" s="2" t="s">
        <v>23</v>
      </c>
      <c r="N37" s="2" t="s">
        <v>18</v>
      </c>
      <c r="O37" s="3">
        <v>46060</v>
      </c>
    </row>
    <row r="38" spans="1:15" ht="13.8" x14ac:dyDescent="0.25">
      <c r="A38" s="2" t="str">
        <f t="shared" si="0"/>
        <v>C037</v>
      </c>
      <c r="B38" s="2">
        <v>39</v>
      </c>
      <c r="C38" s="2" t="s">
        <v>16</v>
      </c>
      <c r="D38" s="2" t="s">
        <v>17</v>
      </c>
      <c r="E38" s="2" t="s">
        <v>23</v>
      </c>
      <c r="F38" s="2" t="s">
        <v>37</v>
      </c>
      <c r="G38" s="2">
        <v>3</v>
      </c>
      <c r="H38" s="2">
        <v>1468</v>
      </c>
      <c r="I38" s="2">
        <f t="shared" si="1"/>
        <v>4404</v>
      </c>
      <c r="J38" s="2" t="s">
        <v>20</v>
      </c>
      <c r="K38" s="2" t="s">
        <v>32</v>
      </c>
      <c r="L38" t="s">
        <v>22</v>
      </c>
      <c r="M38" s="2" t="s">
        <v>18</v>
      </c>
      <c r="N38" s="2" t="s">
        <v>29</v>
      </c>
      <c r="O38" s="3">
        <v>46061</v>
      </c>
    </row>
    <row r="39" spans="1:15" ht="13.8" x14ac:dyDescent="0.25">
      <c r="A39" s="2" t="str">
        <f t="shared" si="0"/>
        <v>C038</v>
      </c>
      <c r="B39" s="2">
        <v>26</v>
      </c>
      <c r="C39" s="2" t="s">
        <v>24</v>
      </c>
      <c r="D39" s="2" t="s">
        <v>30</v>
      </c>
      <c r="E39" s="2" t="s">
        <v>23</v>
      </c>
      <c r="F39" s="2" t="s">
        <v>31</v>
      </c>
      <c r="G39" s="2">
        <v>6</v>
      </c>
      <c r="H39" s="2">
        <v>2768</v>
      </c>
      <c r="I39" s="2">
        <f t="shared" si="1"/>
        <v>16608</v>
      </c>
      <c r="J39" s="2" t="s">
        <v>35</v>
      </c>
      <c r="K39" s="2" t="s">
        <v>21</v>
      </c>
      <c r="L39" s="2" t="s">
        <v>28</v>
      </c>
      <c r="M39" s="2" t="s">
        <v>23</v>
      </c>
      <c r="N39" s="2" t="s">
        <v>23</v>
      </c>
      <c r="O39" s="3">
        <v>46062</v>
      </c>
    </row>
    <row r="40" spans="1:15" ht="13.8" x14ac:dyDescent="0.25">
      <c r="A40" s="2" t="str">
        <f t="shared" si="0"/>
        <v>C039</v>
      </c>
      <c r="B40" s="2">
        <v>39</v>
      </c>
      <c r="C40" s="2" t="s">
        <v>16</v>
      </c>
      <c r="D40" s="2" t="s">
        <v>36</v>
      </c>
      <c r="E40" s="2" t="s">
        <v>18</v>
      </c>
      <c r="F40" s="2" t="s">
        <v>40</v>
      </c>
      <c r="G40" s="2">
        <v>13</v>
      </c>
      <c r="H40" s="2">
        <v>4789</v>
      </c>
      <c r="I40" s="2">
        <f t="shared" si="1"/>
        <v>62257</v>
      </c>
      <c r="J40" s="2" t="s">
        <v>41</v>
      </c>
      <c r="K40" s="2" t="s">
        <v>32</v>
      </c>
      <c r="L40" t="s">
        <v>22</v>
      </c>
      <c r="M40" s="2" t="s">
        <v>18</v>
      </c>
      <c r="N40" s="2" t="s">
        <v>18</v>
      </c>
      <c r="O40" s="3">
        <v>46063</v>
      </c>
    </row>
    <row r="41" spans="1:15" ht="13.8" x14ac:dyDescent="0.25">
      <c r="A41" s="2" t="str">
        <f t="shared" si="0"/>
        <v>C040</v>
      </c>
      <c r="B41" s="2">
        <v>45</v>
      </c>
      <c r="C41" s="2" t="s">
        <v>24</v>
      </c>
      <c r="D41" s="2" t="s">
        <v>33</v>
      </c>
      <c r="E41" s="2" t="s">
        <v>18</v>
      </c>
      <c r="F41" s="2" t="s">
        <v>39</v>
      </c>
      <c r="G41" s="2">
        <v>17</v>
      </c>
      <c r="H41" s="2">
        <v>3567</v>
      </c>
      <c r="I41" s="2">
        <f t="shared" si="1"/>
        <v>60639</v>
      </c>
      <c r="J41" s="2" t="s">
        <v>27</v>
      </c>
      <c r="K41" s="2" t="s">
        <v>21</v>
      </c>
      <c r="L41" s="2" t="s">
        <v>28</v>
      </c>
      <c r="M41" s="2" t="s">
        <v>23</v>
      </c>
      <c r="N41" s="2" t="s">
        <v>29</v>
      </c>
      <c r="O41" s="3">
        <v>46064</v>
      </c>
    </row>
    <row r="42" spans="1:15" ht="13.8" x14ac:dyDescent="0.25">
      <c r="A42" s="2" t="str">
        <f t="shared" si="0"/>
        <v>C041</v>
      </c>
      <c r="B42" s="2">
        <v>35</v>
      </c>
      <c r="C42" s="2" t="s">
        <v>16</v>
      </c>
      <c r="D42" s="2" t="s">
        <v>17</v>
      </c>
      <c r="E42" s="2" t="s">
        <v>23</v>
      </c>
      <c r="F42" s="2" t="s">
        <v>40</v>
      </c>
      <c r="G42" s="2">
        <v>18</v>
      </c>
      <c r="H42" s="2">
        <v>4678</v>
      </c>
      <c r="I42" s="2">
        <f t="shared" si="1"/>
        <v>84204</v>
      </c>
      <c r="J42" s="2" t="s">
        <v>42</v>
      </c>
      <c r="K42" s="2" t="s">
        <v>32</v>
      </c>
      <c r="L42" t="s">
        <v>22</v>
      </c>
      <c r="M42" s="2" t="s">
        <v>18</v>
      </c>
      <c r="N42" s="2" t="s">
        <v>23</v>
      </c>
      <c r="O42" s="3">
        <v>46065</v>
      </c>
    </row>
    <row r="43" spans="1:15" ht="13.8" x14ac:dyDescent="0.25">
      <c r="A43" s="2" t="str">
        <f t="shared" si="0"/>
        <v>C042</v>
      </c>
      <c r="B43" s="2">
        <v>27</v>
      </c>
      <c r="C43" s="2" t="s">
        <v>24</v>
      </c>
      <c r="D43" s="2" t="s">
        <v>25</v>
      </c>
      <c r="E43" s="2" t="s">
        <v>18</v>
      </c>
      <c r="F43" s="2" t="s">
        <v>39</v>
      </c>
      <c r="G43" s="2">
        <v>20</v>
      </c>
      <c r="H43" s="2">
        <v>4689</v>
      </c>
      <c r="I43" s="2">
        <f t="shared" si="1"/>
        <v>93780</v>
      </c>
      <c r="J43" s="2" t="s">
        <v>35</v>
      </c>
      <c r="K43" s="2" t="s">
        <v>21</v>
      </c>
      <c r="L43" s="2" t="s">
        <v>28</v>
      </c>
      <c r="M43" s="2" t="s">
        <v>23</v>
      </c>
      <c r="N43" s="2" t="s">
        <v>18</v>
      </c>
      <c r="O43" s="3">
        <v>46066</v>
      </c>
    </row>
    <row r="44" spans="1:15" ht="13.8" x14ac:dyDescent="0.25">
      <c r="A44" s="2" t="str">
        <f t="shared" si="0"/>
        <v>C043</v>
      </c>
      <c r="B44" s="2">
        <v>37</v>
      </c>
      <c r="C44" s="2" t="s">
        <v>16</v>
      </c>
      <c r="D44" s="2" t="s">
        <v>33</v>
      </c>
      <c r="E44" s="2" t="s">
        <v>23</v>
      </c>
      <c r="F44" s="2" t="s">
        <v>40</v>
      </c>
      <c r="G44" s="2">
        <v>4</v>
      </c>
      <c r="H44" s="2">
        <v>4678</v>
      </c>
      <c r="I44" s="2">
        <f t="shared" si="1"/>
        <v>18712</v>
      </c>
      <c r="J44" s="2" t="s">
        <v>41</v>
      </c>
      <c r="K44" s="2" t="s">
        <v>32</v>
      </c>
      <c r="L44" t="s">
        <v>22</v>
      </c>
      <c r="M44" s="2" t="s">
        <v>18</v>
      </c>
      <c r="N44" s="2" t="s">
        <v>29</v>
      </c>
      <c r="O44" s="3">
        <v>46067</v>
      </c>
    </row>
    <row r="45" spans="1:15" ht="13.8" x14ac:dyDescent="0.25">
      <c r="A45" s="2" t="str">
        <f t="shared" si="0"/>
        <v>C044</v>
      </c>
      <c r="B45" s="2">
        <v>48</v>
      </c>
      <c r="C45" s="2" t="s">
        <v>24</v>
      </c>
      <c r="D45" s="2" t="s">
        <v>30</v>
      </c>
      <c r="E45" s="2" t="s">
        <v>18</v>
      </c>
      <c r="F45" s="2" t="s">
        <v>39</v>
      </c>
      <c r="G45" s="2">
        <v>2</v>
      </c>
      <c r="H45" s="2">
        <v>2672</v>
      </c>
      <c r="I45" s="2">
        <f t="shared" si="1"/>
        <v>5344</v>
      </c>
      <c r="J45" s="2" t="s">
        <v>20</v>
      </c>
      <c r="K45" s="2" t="s">
        <v>32</v>
      </c>
      <c r="L45" s="2" t="s">
        <v>28</v>
      </c>
      <c r="M45" s="2" t="s">
        <v>23</v>
      </c>
      <c r="N45" s="2" t="s">
        <v>23</v>
      </c>
      <c r="O45" s="3">
        <v>46068</v>
      </c>
    </row>
    <row r="46" spans="1:15" ht="13.8" x14ac:dyDescent="0.25">
      <c r="A46" s="2" t="str">
        <f t="shared" si="0"/>
        <v>C045</v>
      </c>
      <c r="B46" s="2">
        <v>50</v>
      </c>
      <c r="C46" s="2" t="s">
        <v>16</v>
      </c>
      <c r="D46" s="2" t="s">
        <v>36</v>
      </c>
      <c r="E46" s="2" t="s">
        <v>23</v>
      </c>
      <c r="F46" s="2" t="s">
        <v>19</v>
      </c>
      <c r="G46" s="2">
        <v>12</v>
      </c>
      <c r="H46" s="2">
        <v>788</v>
      </c>
      <c r="I46" s="2">
        <f t="shared" si="1"/>
        <v>9456</v>
      </c>
      <c r="J46" s="2" t="s">
        <v>42</v>
      </c>
      <c r="K46" s="2" t="s">
        <v>21</v>
      </c>
      <c r="L46" t="s">
        <v>22</v>
      </c>
      <c r="M46" s="2" t="s">
        <v>18</v>
      </c>
      <c r="N46" s="2" t="s">
        <v>18</v>
      </c>
      <c r="O46" s="3">
        <v>46069</v>
      </c>
    </row>
    <row r="47" spans="1:15" ht="13.8" x14ac:dyDescent="0.25">
      <c r="A47" s="2" t="str">
        <f t="shared" si="0"/>
        <v>C046</v>
      </c>
      <c r="B47" s="2">
        <v>20</v>
      </c>
      <c r="C47" s="2" t="s">
        <v>16</v>
      </c>
      <c r="D47" s="2" t="s">
        <v>17</v>
      </c>
      <c r="E47" s="2" t="s">
        <v>18</v>
      </c>
      <c r="F47" s="2" t="s">
        <v>31</v>
      </c>
      <c r="G47" s="2">
        <v>10</v>
      </c>
      <c r="H47" s="2">
        <v>1356</v>
      </c>
      <c r="I47" s="2">
        <f t="shared" si="1"/>
        <v>13560</v>
      </c>
      <c r="J47" s="2" t="s">
        <v>35</v>
      </c>
      <c r="K47" s="2" t="s">
        <v>21</v>
      </c>
      <c r="L47" s="2" t="s">
        <v>28</v>
      </c>
      <c r="M47" s="2" t="s">
        <v>23</v>
      </c>
      <c r="N47" s="2" t="s">
        <v>29</v>
      </c>
      <c r="O47" s="3">
        <v>46070</v>
      </c>
    </row>
    <row r="48" spans="1:15" ht="13.8" x14ac:dyDescent="0.25">
      <c r="A48" s="2" t="str">
        <f t="shared" si="0"/>
        <v>C047</v>
      </c>
      <c r="B48" s="2">
        <v>37</v>
      </c>
      <c r="C48" s="2" t="s">
        <v>24</v>
      </c>
      <c r="D48" s="2" t="s">
        <v>25</v>
      </c>
      <c r="E48" s="2" t="s">
        <v>23</v>
      </c>
      <c r="F48" s="2" t="s">
        <v>38</v>
      </c>
      <c r="G48" s="2">
        <v>11</v>
      </c>
      <c r="H48" s="2">
        <v>3578</v>
      </c>
      <c r="I48" s="2">
        <f t="shared" si="1"/>
        <v>39358</v>
      </c>
      <c r="J48" s="2" t="s">
        <v>20</v>
      </c>
      <c r="K48" s="2" t="s">
        <v>32</v>
      </c>
      <c r="L48" t="s">
        <v>22</v>
      </c>
      <c r="M48" s="2" t="s">
        <v>18</v>
      </c>
      <c r="N48" s="2" t="s">
        <v>29</v>
      </c>
      <c r="O48" s="3">
        <v>46071</v>
      </c>
    </row>
    <row r="49" spans="1:15" ht="13.8" x14ac:dyDescent="0.25">
      <c r="A49" s="2" t="str">
        <f t="shared" si="0"/>
        <v>C048</v>
      </c>
      <c r="B49" s="2">
        <v>50</v>
      </c>
      <c r="C49" s="2" t="s">
        <v>16</v>
      </c>
      <c r="D49" s="2" t="s">
        <v>30</v>
      </c>
      <c r="E49" s="2" t="s">
        <v>18</v>
      </c>
      <c r="F49" s="2" t="s">
        <v>34</v>
      </c>
      <c r="G49" s="2">
        <v>15</v>
      </c>
      <c r="H49" s="2">
        <v>2678</v>
      </c>
      <c r="I49" s="2">
        <f t="shared" si="1"/>
        <v>40170</v>
      </c>
      <c r="J49" s="2" t="s">
        <v>35</v>
      </c>
      <c r="K49" s="2" t="s">
        <v>32</v>
      </c>
      <c r="L49" s="2" t="s">
        <v>28</v>
      </c>
      <c r="M49" s="2" t="s">
        <v>23</v>
      </c>
      <c r="N49" s="2" t="s">
        <v>18</v>
      </c>
      <c r="O49" s="3">
        <v>46072</v>
      </c>
    </row>
    <row r="50" spans="1:15" ht="13.8" x14ac:dyDescent="0.25">
      <c r="A50" s="2" t="str">
        <f t="shared" si="0"/>
        <v>C049</v>
      </c>
      <c r="B50" s="2">
        <v>20</v>
      </c>
      <c r="C50" s="2" t="s">
        <v>24</v>
      </c>
      <c r="D50" s="2" t="s">
        <v>17</v>
      </c>
      <c r="E50" s="2" t="s">
        <v>23</v>
      </c>
      <c r="F50" s="2" t="s">
        <v>39</v>
      </c>
      <c r="G50" s="2">
        <v>4</v>
      </c>
      <c r="H50" s="2">
        <v>1478</v>
      </c>
      <c r="I50" s="2">
        <f t="shared" si="1"/>
        <v>5912</v>
      </c>
      <c r="J50" s="2" t="s">
        <v>41</v>
      </c>
      <c r="K50" s="2" t="s">
        <v>21</v>
      </c>
      <c r="L50" t="s">
        <v>22</v>
      </c>
      <c r="M50" s="2" t="s">
        <v>18</v>
      </c>
      <c r="N50" s="2" t="s">
        <v>23</v>
      </c>
      <c r="O50" s="3">
        <v>46073</v>
      </c>
    </row>
    <row r="51" spans="1:15" ht="13.8" x14ac:dyDescent="0.25">
      <c r="A51" s="2" t="str">
        <f t="shared" si="0"/>
        <v>C050</v>
      </c>
      <c r="B51" s="2">
        <v>30</v>
      </c>
      <c r="C51" s="2" t="s">
        <v>24</v>
      </c>
      <c r="D51" s="2" t="s">
        <v>36</v>
      </c>
      <c r="E51" s="2" t="s">
        <v>18</v>
      </c>
      <c r="F51" s="2" t="s">
        <v>40</v>
      </c>
      <c r="G51" s="2">
        <v>8</v>
      </c>
      <c r="H51" s="2">
        <v>2567</v>
      </c>
      <c r="I51" s="2">
        <f t="shared" si="1"/>
        <v>20536</v>
      </c>
      <c r="J51" s="2" t="s">
        <v>42</v>
      </c>
      <c r="K51" s="2" t="s">
        <v>32</v>
      </c>
      <c r="L51" s="2" t="s">
        <v>28</v>
      </c>
      <c r="M51" s="2" t="s">
        <v>23</v>
      </c>
      <c r="N51" s="2" t="s">
        <v>18</v>
      </c>
      <c r="O51" s="3">
        <v>46074</v>
      </c>
    </row>
    <row r="52" spans="1:15" ht="13.8" x14ac:dyDescent="0.25">
      <c r="A52" s="2" t="str">
        <f t="shared" si="0"/>
        <v>C051</v>
      </c>
      <c r="B52" s="2">
        <v>40</v>
      </c>
      <c r="C52" s="2" t="s">
        <v>16</v>
      </c>
      <c r="D52" s="2" t="s">
        <v>33</v>
      </c>
      <c r="E52" s="2" t="s">
        <v>23</v>
      </c>
      <c r="F52" s="2" t="s">
        <v>38</v>
      </c>
      <c r="G52" s="2">
        <v>9</v>
      </c>
      <c r="H52" s="2">
        <v>4789</v>
      </c>
      <c r="I52" s="2">
        <f t="shared" si="1"/>
        <v>43101</v>
      </c>
      <c r="J52" s="2" t="s">
        <v>27</v>
      </c>
      <c r="K52" s="2" t="s">
        <v>21</v>
      </c>
      <c r="L52" t="s">
        <v>22</v>
      </c>
      <c r="M52" s="2" t="s">
        <v>18</v>
      </c>
      <c r="N52" s="2" t="s">
        <v>29</v>
      </c>
      <c r="O52" s="3">
        <v>46075</v>
      </c>
    </row>
    <row r="53" spans="1:15" ht="13.8" x14ac:dyDescent="0.25">
      <c r="A53" s="2" t="str">
        <f t="shared" si="0"/>
        <v>C052</v>
      </c>
      <c r="B53" s="2">
        <v>25</v>
      </c>
      <c r="C53" s="2" t="s">
        <v>16</v>
      </c>
      <c r="D53" s="2" t="s">
        <v>36</v>
      </c>
      <c r="E53" s="2" t="s">
        <v>18</v>
      </c>
      <c r="F53" s="2" t="s">
        <v>37</v>
      </c>
      <c r="G53" s="2">
        <v>4</v>
      </c>
      <c r="H53" s="2">
        <v>3965</v>
      </c>
      <c r="I53" s="2">
        <f t="shared" si="1"/>
        <v>15860</v>
      </c>
      <c r="J53" s="2" t="s">
        <v>35</v>
      </c>
      <c r="K53" s="2" t="s">
        <v>32</v>
      </c>
      <c r="L53" s="2" t="s">
        <v>28</v>
      </c>
      <c r="M53" s="2" t="s">
        <v>23</v>
      </c>
      <c r="N53" s="2" t="s">
        <v>23</v>
      </c>
      <c r="O53" s="3">
        <v>46076</v>
      </c>
    </row>
    <row r="54" spans="1:15" ht="13.8" x14ac:dyDescent="0.25">
      <c r="A54" s="2" t="str">
        <f t="shared" si="0"/>
        <v>C053</v>
      </c>
      <c r="B54" s="2">
        <v>45</v>
      </c>
      <c r="C54" s="2" t="s">
        <v>24</v>
      </c>
      <c r="D54" s="2" t="s">
        <v>17</v>
      </c>
      <c r="E54" s="2" t="s">
        <v>23</v>
      </c>
      <c r="F54" s="2" t="s">
        <v>31</v>
      </c>
      <c r="G54" s="2">
        <v>16</v>
      </c>
      <c r="H54" s="2">
        <v>3645</v>
      </c>
      <c r="I54" s="2">
        <f t="shared" si="1"/>
        <v>58320</v>
      </c>
      <c r="J54" s="2" t="s">
        <v>41</v>
      </c>
      <c r="K54" s="2" t="s">
        <v>21</v>
      </c>
      <c r="L54" t="s">
        <v>22</v>
      </c>
      <c r="M54" s="2" t="s">
        <v>18</v>
      </c>
      <c r="N54" s="2" t="s">
        <v>23</v>
      </c>
      <c r="O54" s="3">
        <v>46077</v>
      </c>
    </row>
    <row r="55" spans="1:15" ht="13.8" x14ac:dyDescent="0.25">
      <c r="A55" s="2" t="str">
        <f t="shared" si="0"/>
        <v>C054</v>
      </c>
      <c r="B55" s="2">
        <v>50</v>
      </c>
      <c r="C55" s="2" t="s">
        <v>24</v>
      </c>
      <c r="D55" s="2" t="s">
        <v>33</v>
      </c>
      <c r="E55" s="2" t="s">
        <v>18</v>
      </c>
      <c r="F55" s="2" t="s">
        <v>31</v>
      </c>
      <c r="G55" s="2">
        <v>13</v>
      </c>
      <c r="H55" s="2">
        <v>2790</v>
      </c>
      <c r="I55" s="2">
        <f t="shared" si="1"/>
        <v>36270</v>
      </c>
      <c r="J55" s="2" t="s">
        <v>20</v>
      </c>
      <c r="K55" s="2" t="s">
        <v>21</v>
      </c>
      <c r="L55" s="2" t="s">
        <v>28</v>
      </c>
      <c r="M55" s="2" t="s">
        <v>23</v>
      </c>
      <c r="N55" s="2" t="s">
        <v>18</v>
      </c>
      <c r="O55" s="3">
        <v>46078</v>
      </c>
    </row>
    <row r="56" spans="1:15" ht="13.8" x14ac:dyDescent="0.25">
      <c r="A56" s="2" t="str">
        <f t="shared" si="0"/>
        <v>C055</v>
      </c>
      <c r="B56" s="2">
        <v>20</v>
      </c>
      <c r="C56" s="2" t="s">
        <v>16</v>
      </c>
      <c r="D56" s="2" t="s">
        <v>25</v>
      </c>
      <c r="E56" s="2" t="s">
        <v>23</v>
      </c>
      <c r="F56" s="2" t="s">
        <v>38</v>
      </c>
      <c r="G56" s="2">
        <v>17</v>
      </c>
      <c r="H56" s="2">
        <v>5437</v>
      </c>
      <c r="I56" s="2">
        <f t="shared" si="1"/>
        <v>92429</v>
      </c>
      <c r="J56" s="2" t="s">
        <v>42</v>
      </c>
      <c r="K56" s="2" t="s">
        <v>21</v>
      </c>
      <c r="L56" t="s">
        <v>22</v>
      </c>
      <c r="M56" s="2" t="s">
        <v>18</v>
      </c>
      <c r="N56" s="2" t="s">
        <v>29</v>
      </c>
      <c r="O56" s="3">
        <v>46079</v>
      </c>
    </row>
    <row r="57" spans="1:15" ht="13.8" x14ac:dyDescent="0.25">
      <c r="A57" s="2" t="str">
        <f t="shared" si="0"/>
        <v>C056</v>
      </c>
      <c r="B57" s="2">
        <v>31</v>
      </c>
      <c r="C57" s="2" t="s">
        <v>24</v>
      </c>
      <c r="D57" s="2" t="s">
        <v>30</v>
      </c>
      <c r="E57" s="2" t="s">
        <v>18</v>
      </c>
      <c r="F57" s="2" t="s">
        <v>19</v>
      </c>
      <c r="G57" s="2">
        <v>18</v>
      </c>
      <c r="H57" s="2">
        <v>3467</v>
      </c>
      <c r="I57" s="2">
        <f t="shared" si="1"/>
        <v>62406</v>
      </c>
      <c r="J57" s="2" t="s">
        <v>27</v>
      </c>
      <c r="K57" s="2" t="s">
        <v>32</v>
      </c>
      <c r="L57" s="2" t="s">
        <v>28</v>
      </c>
      <c r="M57" s="2" t="s">
        <v>23</v>
      </c>
      <c r="N57" s="2" t="s">
        <v>18</v>
      </c>
      <c r="O57" s="3">
        <v>46080</v>
      </c>
    </row>
    <row r="58" spans="1:15" ht="13.8" x14ac:dyDescent="0.25">
      <c r="A58" s="2" t="str">
        <f t="shared" si="0"/>
        <v>C057</v>
      </c>
      <c r="B58" s="2">
        <v>41</v>
      </c>
      <c r="C58" s="2" t="s">
        <v>16</v>
      </c>
      <c r="D58" s="2" t="s">
        <v>17</v>
      </c>
      <c r="E58" s="2" t="s">
        <v>23</v>
      </c>
      <c r="F58" s="2" t="s">
        <v>34</v>
      </c>
      <c r="G58" s="2">
        <v>16</v>
      </c>
      <c r="H58" s="2">
        <v>2456</v>
      </c>
      <c r="I58" s="2">
        <f t="shared" si="1"/>
        <v>39296</v>
      </c>
      <c r="J58" s="2" t="s">
        <v>41</v>
      </c>
      <c r="K58" s="2" t="s">
        <v>21</v>
      </c>
      <c r="L58" t="s">
        <v>28</v>
      </c>
      <c r="M58" s="2" t="s">
        <v>18</v>
      </c>
      <c r="N58" s="2" t="s">
        <v>23</v>
      </c>
      <c r="O58" s="3">
        <v>46081</v>
      </c>
    </row>
    <row r="59" spans="1:15" ht="13.8" x14ac:dyDescent="0.25">
      <c r="A59" s="2" t="str">
        <f t="shared" si="0"/>
        <v>C058</v>
      </c>
      <c r="B59" s="2">
        <v>31</v>
      </c>
      <c r="C59" s="2" t="s">
        <v>24</v>
      </c>
      <c r="D59" s="2" t="s">
        <v>33</v>
      </c>
      <c r="E59" s="2" t="s">
        <v>18</v>
      </c>
      <c r="F59" s="2" t="s">
        <v>39</v>
      </c>
      <c r="G59" s="2">
        <v>7</v>
      </c>
      <c r="H59" s="2">
        <v>1479</v>
      </c>
      <c r="I59" s="2">
        <f t="shared" si="1"/>
        <v>10353</v>
      </c>
      <c r="J59" s="2" t="s">
        <v>35</v>
      </c>
      <c r="K59" s="2" t="s">
        <v>32</v>
      </c>
      <c r="L59" s="2" t="s">
        <v>22</v>
      </c>
      <c r="M59" s="2" t="s">
        <v>23</v>
      </c>
      <c r="N59" s="2" t="s">
        <v>29</v>
      </c>
      <c r="O59" s="3">
        <v>46082</v>
      </c>
    </row>
    <row r="60" spans="1:15" ht="13.8" x14ac:dyDescent="0.25">
      <c r="A60" s="2" t="str">
        <f t="shared" si="0"/>
        <v>C059</v>
      </c>
      <c r="B60" s="2">
        <v>36</v>
      </c>
      <c r="C60" s="2" t="s">
        <v>16</v>
      </c>
      <c r="D60" s="2" t="s">
        <v>25</v>
      </c>
      <c r="E60" s="2" t="s">
        <v>23</v>
      </c>
      <c r="F60" s="2" t="s">
        <v>40</v>
      </c>
      <c r="G60" s="2">
        <v>8</v>
      </c>
      <c r="H60" s="2">
        <v>3210</v>
      </c>
      <c r="I60" s="2">
        <f t="shared" si="1"/>
        <v>25680</v>
      </c>
      <c r="J60" s="2" t="s">
        <v>20</v>
      </c>
      <c r="K60" s="2" t="s">
        <v>21</v>
      </c>
      <c r="L60" t="s">
        <v>28</v>
      </c>
      <c r="M60" s="2" t="s">
        <v>18</v>
      </c>
      <c r="N60" s="2" t="s">
        <v>18</v>
      </c>
      <c r="O60" s="3">
        <v>46083</v>
      </c>
    </row>
    <row r="61" spans="1:15" ht="13.8" x14ac:dyDescent="0.25">
      <c r="A61" s="2" t="str">
        <f t="shared" si="0"/>
        <v>C060</v>
      </c>
      <c r="B61" s="2">
        <v>47</v>
      </c>
      <c r="C61" s="2" t="s">
        <v>24</v>
      </c>
      <c r="D61" s="2" t="s">
        <v>36</v>
      </c>
      <c r="E61" s="2" t="s">
        <v>18</v>
      </c>
      <c r="F61" s="2" t="s">
        <v>31</v>
      </c>
      <c r="G61" s="2">
        <v>14</v>
      </c>
      <c r="H61" s="2">
        <v>2970</v>
      </c>
      <c r="I61" s="2">
        <f t="shared" si="1"/>
        <v>41580</v>
      </c>
      <c r="J61" s="2" t="s">
        <v>42</v>
      </c>
      <c r="K61" s="2" t="s">
        <v>32</v>
      </c>
      <c r="L61" s="2" t="s">
        <v>28</v>
      </c>
      <c r="M61" s="2" t="s">
        <v>23</v>
      </c>
      <c r="N61" s="2" t="s">
        <v>23</v>
      </c>
      <c r="O61" s="3">
        <v>46084</v>
      </c>
    </row>
    <row r="62" spans="1:15" ht="13.8" x14ac:dyDescent="0.25">
      <c r="A62" s="2" t="str">
        <f t="shared" si="0"/>
        <v>C061</v>
      </c>
      <c r="B62" s="2">
        <v>48</v>
      </c>
      <c r="C62" s="2" t="s">
        <v>16</v>
      </c>
      <c r="D62" s="2" t="s">
        <v>30</v>
      </c>
      <c r="E62" s="2" t="s">
        <v>18</v>
      </c>
      <c r="F62" s="2" t="s">
        <v>37</v>
      </c>
      <c r="G62" s="2">
        <v>20</v>
      </c>
      <c r="H62" s="2">
        <v>3256</v>
      </c>
      <c r="I62" s="2">
        <f>G62*H62</f>
        <v>65120</v>
      </c>
      <c r="J62" s="2" t="s">
        <v>27</v>
      </c>
      <c r="K62" s="2" t="s">
        <v>21</v>
      </c>
      <c r="L62" t="s">
        <v>28</v>
      </c>
      <c r="M62" s="2" t="s">
        <v>18</v>
      </c>
      <c r="N62" s="2" t="s">
        <v>29</v>
      </c>
      <c r="O62" s="3">
        <v>46085</v>
      </c>
    </row>
    <row r="63" spans="1:15" ht="13.8" x14ac:dyDescent="0.25">
      <c r="A63" s="2" t="str">
        <f t="shared" si="0"/>
        <v>C062</v>
      </c>
      <c r="B63" s="2">
        <v>50</v>
      </c>
      <c r="C63" s="2" t="s">
        <v>24</v>
      </c>
      <c r="D63" s="2" t="s">
        <v>17</v>
      </c>
      <c r="E63" s="2" t="s">
        <v>23</v>
      </c>
      <c r="F63" s="2" t="s">
        <v>38</v>
      </c>
      <c r="G63" s="2">
        <v>11</v>
      </c>
      <c r="H63" s="2">
        <v>4689</v>
      </c>
      <c r="I63" s="2">
        <f t="shared" si="1"/>
        <v>51579</v>
      </c>
      <c r="J63" s="2" t="s">
        <v>27</v>
      </c>
      <c r="K63" s="2" t="s">
        <v>32</v>
      </c>
      <c r="L63" s="2" t="s">
        <v>22</v>
      </c>
      <c r="M63" s="2" t="s">
        <v>23</v>
      </c>
      <c r="N63" s="2" t="s">
        <v>18</v>
      </c>
      <c r="O63" s="3">
        <v>46086</v>
      </c>
    </row>
    <row r="64" spans="1:15" ht="13.8" x14ac:dyDescent="0.25">
      <c r="A64" s="2" t="str">
        <f t="shared" si="0"/>
        <v>C063</v>
      </c>
      <c r="B64" s="2">
        <v>26</v>
      </c>
      <c r="C64" s="2" t="s">
        <v>16</v>
      </c>
      <c r="D64" s="2" t="s">
        <v>36</v>
      </c>
      <c r="E64" s="2" t="s">
        <v>18</v>
      </c>
      <c r="F64" s="2" t="s">
        <v>19</v>
      </c>
      <c r="G64" s="2">
        <v>9</v>
      </c>
      <c r="H64" s="2">
        <v>3568</v>
      </c>
      <c r="I64" s="2">
        <f t="shared" si="1"/>
        <v>32112</v>
      </c>
      <c r="J64" s="2" t="s">
        <v>42</v>
      </c>
      <c r="K64" s="2" t="s">
        <v>21</v>
      </c>
      <c r="L64" t="s">
        <v>22</v>
      </c>
      <c r="M64" s="2" t="s">
        <v>18</v>
      </c>
      <c r="N64" s="2" t="s">
        <v>23</v>
      </c>
      <c r="O64" s="3">
        <v>46087</v>
      </c>
    </row>
    <row r="65" spans="1:15" ht="13.8" x14ac:dyDescent="0.25">
      <c r="A65" s="2" t="str">
        <f t="shared" si="0"/>
        <v>C064</v>
      </c>
      <c r="B65" s="2">
        <v>28</v>
      </c>
      <c r="C65" s="2" t="s">
        <v>24</v>
      </c>
      <c r="D65" s="2" t="s">
        <v>30</v>
      </c>
      <c r="E65" s="2" t="s">
        <v>23</v>
      </c>
      <c r="F65" s="2" t="s">
        <v>39</v>
      </c>
      <c r="G65" s="2">
        <v>16</v>
      </c>
      <c r="H65" s="2">
        <v>2589</v>
      </c>
      <c r="I65" s="2">
        <f t="shared" si="1"/>
        <v>41424</v>
      </c>
      <c r="J65" s="2" t="s">
        <v>20</v>
      </c>
      <c r="K65" s="2" t="s">
        <v>32</v>
      </c>
      <c r="L65" s="2" t="s">
        <v>28</v>
      </c>
      <c r="M65" s="2" t="s">
        <v>23</v>
      </c>
      <c r="N65" s="2" t="s">
        <v>29</v>
      </c>
      <c r="O65" s="3">
        <v>46088</v>
      </c>
    </row>
    <row r="66" spans="1:15" ht="13.8" x14ac:dyDescent="0.25">
      <c r="A66" s="2" t="str">
        <f t="shared" si="0"/>
        <v>C065</v>
      </c>
      <c r="B66" s="2">
        <v>39</v>
      </c>
      <c r="C66" s="2" t="s">
        <v>16</v>
      </c>
      <c r="D66" s="2" t="s">
        <v>25</v>
      </c>
      <c r="E66" s="2" t="s">
        <v>18</v>
      </c>
      <c r="F66" s="2" t="s">
        <v>40</v>
      </c>
      <c r="G66" s="2">
        <v>17</v>
      </c>
      <c r="H66" s="2">
        <v>300</v>
      </c>
      <c r="I66" s="2">
        <f t="shared" si="1"/>
        <v>5100</v>
      </c>
      <c r="J66" s="2" t="s">
        <v>35</v>
      </c>
      <c r="K66" s="2" t="s">
        <v>21</v>
      </c>
      <c r="L66" t="s">
        <v>22</v>
      </c>
      <c r="M66" s="2" t="s">
        <v>18</v>
      </c>
      <c r="N66" s="2" t="s">
        <v>23</v>
      </c>
      <c r="O66" s="3">
        <v>46089</v>
      </c>
    </row>
    <row r="67" spans="1:15" ht="13.8" x14ac:dyDescent="0.25">
      <c r="A67" s="2" t="str">
        <f t="shared" ref="A67:A101" si="2">"C"&amp;TEXT(ROW()-1,"000")</f>
        <v>C066</v>
      </c>
      <c r="B67" s="2">
        <v>37</v>
      </c>
      <c r="C67" s="2" t="s">
        <v>16</v>
      </c>
      <c r="D67" s="2" t="s">
        <v>33</v>
      </c>
      <c r="E67" s="2" t="s">
        <v>23</v>
      </c>
      <c r="F67" s="2" t="s">
        <v>31</v>
      </c>
      <c r="G67" s="2">
        <v>17</v>
      </c>
      <c r="H67" s="2">
        <v>555</v>
      </c>
      <c r="I67" s="2">
        <f t="shared" ref="I67:I83" si="3">G67*H67</f>
        <v>9435</v>
      </c>
      <c r="J67" s="2" t="s">
        <v>20</v>
      </c>
      <c r="K67" s="2" t="s">
        <v>32</v>
      </c>
      <c r="L67" s="2" t="s">
        <v>28</v>
      </c>
      <c r="M67" s="2" t="s">
        <v>23</v>
      </c>
      <c r="N67" s="2" t="s">
        <v>29</v>
      </c>
      <c r="O67" s="3">
        <v>46090</v>
      </c>
    </row>
    <row r="68" spans="1:15" ht="13.8" x14ac:dyDescent="0.25">
      <c r="A68" s="2" t="str">
        <f t="shared" si="2"/>
        <v>C067</v>
      </c>
      <c r="B68" s="2">
        <v>39</v>
      </c>
      <c r="C68" s="2" t="s">
        <v>24</v>
      </c>
      <c r="D68" s="2" t="s">
        <v>30</v>
      </c>
      <c r="E68" s="2" t="s">
        <v>18</v>
      </c>
      <c r="F68" s="2" t="s">
        <v>26</v>
      </c>
      <c r="G68" s="2">
        <v>12</v>
      </c>
      <c r="H68" s="2">
        <v>667</v>
      </c>
      <c r="I68" s="2">
        <f t="shared" si="3"/>
        <v>8004</v>
      </c>
      <c r="J68" s="2" t="s">
        <v>35</v>
      </c>
      <c r="K68" s="2" t="s">
        <v>32</v>
      </c>
      <c r="L68" t="s">
        <v>22</v>
      </c>
      <c r="M68" s="2" t="s">
        <v>18</v>
      </c>
      <c r="N68" s="2" t="s">
        <v>18</v>
      </c>
      <c r="O68" s="3">
        <v>46091</v>
      </c>
    </row>
    <row r="69" spans="1:15" ht="13.8" x14ac:dyDescent="0.25">
      <c r="A69" s="2" t="str">
        <f t="shared" si="2"/>
        <v>C068</v>
      </c>
      <c r="B69" s="2">
        <v>49</v>
      </c>
      <c r="C69" s="2" t="s">
        <v>16</v>
      </c>
      <c r="D69" s="2" t="s">
        <v>33</v>
      </c>
      <c r="E69" s="2" t="s">
        <v>23</v>
      </c>
      <c r="F69" s="2" t="s">
        <v>31</v>
      </c>
      <c r="G69" s="2">
        <v>14</v>
      </c>
      <c r="H69" s="2">
        <v>3568</v>
      </c>
      <c r="I69" s="2">
        <f t="shared" si="3"/>
        <v>49952</v>
      </c>
      <c r="J69" s="2" t="s">
        <v>42</v>
      </c>
      <c r="K69" s="2" t="s">
        <v>21</v>
      </c>
      <c r="L69" s="2" t="s">
        <v>28</v>
      </c>
      <c r="M69" s="2" t="s">
        <v>23</v>
      </c>
      <c r="N69" s="2" t="s">
        <v>23</v>
      </c>
      <c r="O69" s="3">
        <v>46092</v>
      </c>
    </row>
    <row r="70" spans="1:15" ht="13.8" x14ac:dyDescent="0.25">
      <c r="A70" s="2" t="str">
        <f t="shared" si="2"/>
        <v>C069</v>
      </c>
      <c r="B70" s="2">
        <v>47</v>
      </c>
      <c r="C70" s="2" t="s">
        <v>24</v>
      </c>
      <c r="D70" s="2" t="s">
        <v>25</v>
      </c>
      <c r="E70" s="2" t="s">
        <v>18</v>
      </c>
      <c r="F70" s="2" t="s">
        <v>34</v>
      </c>
      <c r="G70" s="2">
        <v>16</v>
      </c>
      <c r="H70" s="2">
        <v>2789</v>
      </c>
      <c r="I70" s="2">
        <f t="shared" si="3"/>
        <v>44624</v>
      </c>
      <c r="J70" s="2" t="s">
        <v>41</v>
      </c>
      <c r="K70" s="2" t="s">
        <v>21</v>
      </c>
      <c r="L70" t="s">
        <v>22</v>
      </c>
      <c r="M70" s="2" t="s">
        <v>18</v>
      </c>
      <c r="N70" s="2" t="s">
        <v>18</v>
      </c>
      <c r="O70" s="3">
        <v>46093</v>
      </c>
    </row>
    <row r="71" spans="1:15" ht="13.8" x14ac:dyDescent="0.25">
      <c r="A71" s="2" t="str">
        <f t="shared" si="2"/>
        <v>C070</v>
      </c>
      <c r="B71" s="2">
        <v>46</v>
      </c>
      <c r="C71" s="2" t="s">
        <v>16</v>
      </c>
      <c r="D71" s="2" t="s">
        <v>36</v>
      </c>
      <c r="E71" s="2" t="s">
        <v>18</v>
      </c>
      <c r="F71" s="2" t="s">
        <v>40</v>
      </c>
      <c r="G71" s="2">
        <v>6</v>
      </c>
      <c r="H71" s="2">
        <v>2457</v>
      </c>
      <c r="I71" s="2">
        <f t="shared" si="3"/>
        <v>14742</v>
      </c>
      <c r="J71" s="2" t="s">
        <v>20</v>
      </c>
      <c r="K71" s="2" t="s">
        <v>32</v>
      </c>
      <c r="L71" s="2" t="s">
        <v>28</v>
      </c>
      <c r="M71" s="2" t="s">
        <v>23</v>
      </c>
      <c r="N71" s="2" t="s">
        <v>23</v>
      </c>
      <c r="O71" s="3">
        <v>46094</v>
      </c>
    </row>
    <row r="72" spans="1:15" ht="13.8" x14ac:dyDescent="0.25">
      <c r="A72" s="2" t="str">
        <f t="shared" si="2"/>
        <v>C071</v>
      </c>
      <c r="B72" s="2">
        <v>42</v>
      </c>
      <c r="C72" s="2" t="s">
        <v>24</v>
      </c>
      <c r="D72" s="2" t="s">
        <v>17</v>
      </c>
      <c r="E72" s="2" t="s">
        <v>23</v>
      </c>
      <c r="F72" s="2" t="s">
        <v>39</v>
      </c>
      <c r="G72" s="2">
        <v>7</v>
      </c>
      <c r="H72" s="2">
        <v>3456</v>
      </c>
      <c r="I72" s="2">
        <f t="shared" si="3"/>
        <v>24192</v>
      </c>
      <c r="J72" s="2" t="s">
        <v>27</v>
      </c>
      <c r="K72" s="2" t="s">
        <v>32</v>
      </c>
      <c r="L72" t="s">
        <v>22</v>
      </c>
      <c r="M72" s="2" t="s">
        <v>18</v>
      </c>
      <c r="N72" s="2" t="s">
        <v>29</v>
      </c>
      <c r="O72" s="3">
        <v>46095</v>
      </c>
    </row>
    <row r="73" spans="1:15" ht="13.8" x14ac:dyDescent="0.25">
      <c r="A73" s="2" t="str">
        <f t="shared" si="2"/>
        <v>C072</v>
      </c>
      <c r="B73" s="2">
        <v>43</v>
      </c>
      <c r="C73" s="2" t="s">
        <v>16</v>
      </c>
      <c r="D73" s="2" t="s">
        <v>25</v>
      </c>
      <c r="E73" s="2" t="s">
        <v>18</v>
      </c>
      <c r="F73" s="2" t="s">
        <v>26</v>
      </c>
      <c r="G73" s="2">
        <v>9</v>
      </c>
      <c r="H73" s="2">
        <v>3777</v>
      </c>
      <c r="I73" s="2">
        <f t="shared" si="3"/>
        <v>33993</v>
      </c>
      <c r="J73" s="2" t="s">
        <v>35</v>
      </c>
      <c r="K73" s="2" t="s">
        <v>32</v>
      </c>
      <c r="L73" s="2" t="s">
        <v>28</v>
      </c>
      <c r="M73" s="2" t="s">
        <v>23</v>
      </c>
      <c r="N73" s="2" t="s">
        <v>18</v>
      </c>
      <c r="O73" s="3">
        <v>46096</v>
      </c>
    </row>
    <row r="74" spans="1:15" ht="13.8" x14ac:dyDescent="0.25">
      <c r="A74" s="2" t="str">
        <f t="shared" si="2"/>
        <v>C073</v>
      </c>
      <c r="B74" s="2">
        <v>29</v>
      </c>
      <c r="C74" s="2" t="s">
        <v>24</v>
      </c>
      <c r="D74" s="2" t="s">
        <v>33</v>
      </c>
      <c r="E74" s="2" t="s">
        <v>23</v>
      </c>
      <c r="F74" s="2" t="s">
        <v>19</v>
      </c>
      <c r="G74" s="2">
        <v>3</v>
      </c>
      <c r="H74" s="2">
        <v>4666</v>
      </c>
      <c r="I74" s="2">
        <f t="shared" si="3"/>
        <v>13998</v>
      </c>
      <c r="J74" s="2" t="s">
        <v>41</v>
      </c>
      <c r="K74" s="2" t="s">
        <v>21</v>
      </c>
      <c r="L74" t="s">
        <v>22</v>
      </c>
      <c r="M74" s="2" t="s">
        <v>18</v>
      </c>
      <c r="N74" s="2" t="s">
        <v>23</v>
      </c>
      <c r="O74" s="3">
        <v>46097</v>
      </c>
    </row>
    <row r="75" spans="1:15" ht="13.8" x14ac:dyDescent="0.25">
      <c r="A75" s="2" t="str">
        <f t="shared" si="2"/>
        <v>C074</v>
      </c>
      <c r="B75" s="2">
        <v>49</v>
      </c>
      <c r="C75" s="2" t="s">
        <v>16</v>
      </c>
      <c r="D75" s="2" t="s">
        <v>17</v>
      </c>
      <c r="E75" s="2" t="s">
        <v>18</v>
      </c>
      <c r="F75" s="2" t="s">
        <v>31</v>
      </c>
      <c r="G75" s="2">
        <v>2</v>
      </c>
      <c r="H75" s="2">
        <v>3215</v>
      </c>
      <c r="I75" s="2">
        <f t="shared" si="3"/>
        <v>6430</v>
      </c>
      <c r="J75" s="2" t="s">
        <v>42</v>
      </c>
      <c r="K75" s="2" t="s">
        <v>32</v>
      </c>
      <c r="L75" s="2" t="s">
        <v>28</v>
      </c>
      <c r="M75" s="2" t="s">
        <v>23</v>
      </c>
      <c r="N75" s="2" t="s">
        <v>18</v>
      </c>
      <c r="O75" s="3">
        <v>46098</v>
      </c>
    </row>
    <row r="76" spans="1:15" ht="13.8" x14ac:dyDescent="0.25">
      <c r="A76" s="2" t="str">
        <f t="shared" si="2"/>
        <v>C075</v>
      </c>
      <c r="B76" s="2">
        <v>47</v>
      </c>
      <c r="C76" s="2" t="s">
        <v>24</v>
      </c>
      <c r="D76" s="2" t="s">
        <v>36</v>
      </c>
      <c r="E76" s="2" t="s">
        <v>18</v>
      </c>
      <c r="F76" s="2" t="s">
        <v>26</v>
      </c>
      <c r="G76" s="2">
        <v>15</v>
      </c>
      <c r="H76" s="2">
        <v>4678</v>
      </c>
      <c r="I76" s="2">
        <f t="shared" si="3"/>
        <v>70170</v>
      </c>
      <c r="J76" s="2" t="s">
        <v>27</v>
      </c>
      <c r="K76" s="2" t="s">
        <v>21</v>
      </c>
      <c r="L76" t="s">
        <v>22</v>
      </c>
      <c r="M76" s="2" t="s">
        <v>18</v>
      </c>
      <c r="N76" s="2" t="s">
        <v>23</v>
      </c>
      <c r="O76" s="3">
        <v>46099</v>
      </c>
    </row>
    <row r="77" spans="1:15" ht="13.8" x14ac:dyDescent="0.25">
      <c r="A77" s="2" t="str">
        <f t="shared" si="2"/>
        <v>C076</v>
      </c>
      <c r="B77" s="2">
        <v>28</v>
      </c>
      <c r="C77" s="2" t="s">
        <v>16</v>
      </c>
      <c r="D77" s="2" t="s">
        <v>33</v>
      </c>
      <c r="E77" s="2" t="s">
        <v>23</v>
      </c>
      <c r="F77" s="2" t="s">
        <v>34</v>
      </c>
      <c r="G77" s="2">
        <v>18</v>
      </c>
      <c r="H77" s="2">
        <v>3478</v>
      </c>
      <c r="I77" s="2">
        <f t="shared" si="3"/>
        <v>62604</v>
      </c>
      <c r="J77" s="2" t="s">
        <v>42</v>
      </c>
      <c r="K77" s="2" t="s">
        <v>32</v>
      </c>
      <c r="L77" s="2" t="s">
        <v>28</v>
      </c>
      <c r="M77" s="2" t="s">
        <v>23</v>
      </c>
      <c r="N77" s="2" t="s">
        <v>29</v>
      </c>
      <c r="O77" s="3">
        <v>46100</v>
      </c>
    </row>
    <row r="78" spans="1:15" ht="13.8" x14ac:dyDescent="0.25">
      <c r="A78" s="2" t="str">
        <f t="shared" si="2"/>
        <v>C077</v>
      </c>
      <c r="B78" s="2">
        <v>49</v>
      </c>
      <c r="C78" s="2" t="s">
        <v>24</v>
      </c>
      <c r="D78" s="2" t="s">
        <v>30</v>
      </c>
      <c r="E78" s="2" t="s">
        <v>23</v>
      </c>
      <c r="F78" s="2" t="s">
        <v>31</v>
      </c>
      <c r="G78" s="2">
        <v>17</v>
      </c>
      <c r="H78" s="2">
        <v>3790</v>
      </c>
      <c r="I78" s="2">
        <f t="shared" si="3"/>
        <v>64430</v>
      </c>
      <c r="J78" s="2" t="s">
        <v>35</v>
      </c>
      <c r="K78" s="2" t="s">
        <v>21</v>
      </c>
      <c r="L78" t="s">
        <v>22</v>
      </c>
      <c r="M78" s="2" t="s">
        <v>23</v>
      </c>
      <c r="N78" s="2" t="s">
        <v>23</v>
      </c>
      <c r="O78" s="3">
        <v>46101</v>
      </c>
    </row>
    <row r="79" spans="1:15" ht="13.8" x14ac:dyDescent="0.25">
      <c r="A79" s="2" t="str">
        <f t="shared" si="2"/>
        <v>C078</v>
      </c>
      <c r="B79" s="2">
        <v>41</v>
      </c>
      <c r="C79" s="2" t="s">
        <v>16</v>
      </c>
      <c r="D79" s="2" t="s">
        <v>36</v>
      </c>
      <c r="E79" s="2" t="s">
        <v>18</v>
      </c>
      <c r="F79" s="2" t="s">
        <v>38</v>
      </c>
      <c r="G79" s="2">
        <v>19</v>
      </c>
      <c r="H79" s="2">
        <v>4569</v>
      </c>
      <c r="I79" s="2">
        <f t="shared" si="3"/>
        <v>86811</v>
      </c>
      <c r="J79" s="2" t="s">
        <v>41</v>
      </c>
      <c r="K79" s="2" t="s">
        <v>32</v>
      </c>
      <c r="L79" s="2" t="s">
        <v>28</v>
      </c>
      <c r="M79" s="2" t="s">
        <v>18</v>
      </c>
      <c r="N79" s="2" t="s">
        <v>18</v>
      </c>
      <c r="O79" s="3">
        <v>46102</v>
      </c>
    </row>
    <row r="80" spans="1:15" ht="13.8" x14ac:dyDescent="0.25">
      <c r="A80" s="2" t="str">
        <f t="shared" si="2"/>
        <v>C079</v>
      </c>
      <c r="B80" s="2">
        <v>40</v>
      </c>
      <c r="C80" s="2" t="s">
        <v>24</v>
      </c>
      <c r="D80" s="2" t="s">
        <v>17</v>
      </c>
      <c r="E80" s="2" t="s">
        <v>23</v>
      </c>
      <c r="F80" s="2" t="s">
        <v>37</v>
      </c>
      <c r="G80" s="2">
        <v>5</v>
      </c>
      <c r="H80" s="2">
        <v>2356</v>
      </c>
      <c r="I80" s="2">
        <f t="shared" si="3"/>
        <v>11780</v>
      </c>
      <c r="J80" s="2" t="s">
        <v>20</v>
      </c>
      <c r="K80" s="2" t="s">
        <v>21</v>
      </c>
      <c r="L80" t="s">
        <v>22</v>
      </c>
      <c r="M80" s="2" t="s">
        <v>23</v>
      </c>
      <c r="N80" s="2" t="s">
        <v>29</v>
      </c>
      <c r="O80" s="3">
        <v>46103</v>
      </c>
    </row>
    <row r="81" spans="1:15" ht="13.8" x14ac:dyDescent="0.25">
      <c r="A81" s="2" t="str">
        <f t="shared" si="2"/>
        <v>C080</v>
      </c>
      <c r="B81" s="2">
        <v>44</v>
      </c>
      <c r="C81" s="2" t="s">
        <v>16</v>
      </c>
      <c r="D81" s="2" t="s">
        <v>17</v>
      </c>
      <c r="E81" s="2" t="s">
        <v>18</v>
      </c>
      <c r="F81" s="2" t="s">
        <v>19</v>
      </c>
      <c r="G81" s="2">
        <v>7</v>
      </c>
      <c r="H81" s="2">
        <v>1256</v>
      </c>
      <c r="I81" s="2">
        <f t="shared" si="3"/>
        <v>8792</v>
      </c>
      <c r="J81" s="2" t="s">
        <v>35</v>
      </c>
      <c r="K81" s="2" t="s">
        <v>32</v>
      </c>
      <c r="L81" s="2" t="s">
        <v>28</v>
      </c>
      <c r="M81" s="2" t="s">
        <v>18</v>
      </c>
      <c r="N81" s="2" t="s">
        <v>23</v>
      </c>
      <c r="O81" s="3">
        <v>46104</v>
      </c>
    </row>
    <row r="82" spans="1:15" ht="13.8" x14ac:dyDescent="0.25">
      <c r="A82" s="2" t="str">
        <f t="shared" si="2"/>
        <v>C081</v>
      </c>
      <c r="B82" s="2">
        <v>33</v>
      </c>
      <c r="C82" s="2" t="s">
        <v>16</v>
      </c>
      <c r="D82" s="2" t="s">
        <v>33</v>
      </c>
      <c r="E82" s="2" t="s">
        <v>18</v>
      </c>
      <c r="F82" s="2" t="s">
        <v>40</v>
      </c>
      <c r="G82" s="2">
        <v>9</v>
      </c>
      <c r="H82" s="2">
        <v>2638</v>
      </c>
      <c r="I82" s="2">
        <f t="shared" si="3"/>
        <v>23742</v>
      </c>
      <c r="J82" s="2" t="s">
        <v>42</v>
      </c>
      <c r="K82" s="2" t="s">
        <v>21</v>
      </c>
      <c r="L82" t="s">
        <v>28</v>
      </c>
      <c r="M82" s="2" t="s">
        <v>23</v>
      </c>
      <c r="N82" s="2" t="s">
        <v>18</v>
      </c>
      <c r="O82" s="3">
        <v>46105</v>
      </c>
    </row>
    <row r="83" spans="1:15" ht="13.8" x14ac:dyDescent="0.25">
      <c r="A83" s="2" t="str">
        <f t="shared" si="2"/>
        <v>C082</v>
      </c>
      <c r="B83" s="2">
        <v>23</v>
      </c>
      <c r="C83" s="2" t="s">
        <v>24</v>
      </c>
      <c r="D83" s="2" t="s">
        <v>25</v>
      </c>
      <c r="E83" s="2" t="s">
        <v>23</v>
      </c>
      <c r="F83" s="2" t="s">
        <v>39</v>
      </c>
      <c r="G83" s="2">
        <v>3</v>
      </c>
      <c r="H83" s="2">
        <v>5000</v>
      </c>
      <c r="I83" s="2">
        <f t="shared" si="3"/>
        <v>15000</v>
      </c>
      <c r="J83" s="2" t="s">
        <v>35</v>
      </c>
      <c r="K83" s="2" t="s">
        <v>32</v>
      </c>
      <c r="L83" s="2" t="s">
        <v>22</v>
      </c>
      <c r="M83" s="2" t="s">
        <v>18</v>
      </c>
      <c r="N83" s="2" t="s">
        <v>29</v>
      </c>
      <c r="O83" s="3">
        <v>46106</v>
      </c>
    </row>
    <row r="84" spans="1:15" ht="13.8" x14ac:dyDescent="0.25">
      <c r="A84" s="2" t="str">
        <f t="shared" si="2"/>
        <v>C083</v>
      </c>
      <c r="B84" s="2">
        <v>32</v>
      </c>
      <c r="C84" s="2" t="s">
        <v>16</v>
      </c>
      <c r="D84" s="2" t="s">
        <v>25</v>
      </c>
      <c r="E84" s="2" t="s">
        <v>23</v>
      </c>
      <c r="F84" s="2" t="s">
        <v>34</v>
      </c>
      <c r="G84" s="2">
        <v>2</v>
      </c>
      <c r="H84" s="2">
        <v>3777</v>
      </c>
      <c r="I84" s="2">
        <f>G84*H84</f>
        <v>7554</v>
      </c>
      <c r="J84" s="2" t="s">
        <v>20</v>
      </c>
      <c r="K84" s="2" t="s">
        <v>21</v>
      </c>
      <c r="L84" t="s">
        <v>28</v>
      </c>
      <c r="M84" s="2" t="s">
        <v>23</v>
      </c>
      <c r="N84" s="2" t="s">
        <v>23</v>
      </c>
      <c r="O84" s="3">
        <v>46107</v>
      </c>
    </row>
    <row r="85" spans="1:15" ht="13.8" x14ac:dyDescent="0.25">
      <c r="A85" s="2" t="str">
        <f t="shared" si="2"/>
        <v>C084</v>
      </c>
      <c r="B85" s="2">
        <v>50</v>
      </c>
      <c r="C85" s="2" t="s">
        <v>24</v>
      </c>
      <c r="D85" s="2" t="s">
        <v>30</v>
      </c>
      <c r="E85" s="2" t="s">
        <v>18</v>
      </c>
      <c r="F85" s="2" t="s">
        <v>31</v>
      </c>
      <c r="G85" s="2">
        <v>20</v>
      </c>
      <c r="H85" s="2">
        <v>5665</v>
      </c>
      <c r="I85" s="2">
        <f t="shared" ref="I85:I101" si="4">G85*H85</f>
        <v>113300</v>
      </c>
      <c r="J85" s="2" t="s">
        <v>35</v>
      </c>
      <c r="K85" s="2" t="s">
        <v>32</v>
      </c>
      <c r="L85" s="2" t="s">
        <v>44</v>
      </c>
      <c r="M85" s="2" t="s">
        <v>18</v>
      </c>
      <c r="N85" s="2" t="s">
        <v>18</v>
      </c>
      <c r="O85" s="3">
        <v>46108</v>
      </c>
    </row>
    <row r="86" spans="1:15" ht="13.8" x14ac:dyDescent="0.25">
      <c r="A86" s="2" t="str">
        <f t="shared" si="2"/>
        <v>C085</v>
      </c>
      <c r="B86" s="2">
        <v>40</v>
      </c>
      <c r="C86" s="2" t="s">
        <v>16</v>
      </c>
      <c r="D86" s="2" t="s">
        <v>36</v>
      </c>
      <c r="E86" s="2" t="s">
        <v>23</v>
      </c>
      <c r="F86" s="2" t="s">
        <v>26</v>
      </c>
      <c r="G86" s="2">
        <v>10</v>
      </c>
      <c r="H86" s="2">
        <v>2455</v>
      </c>
      <c r="I86" s="2">
        <f t="shared" si="4"/>
        <v>24550</v>
      </c>
      <c r="J86" s="2" t="s">
        <v>42</v>
      </c>
      <c r="K86" s="2" t="s">
        <v>32</v>
      </c>
      <c r="L86" t="s">
        <v>28</v>
      </c>
      <c r="M86" s="2" t="s">
        <v>23</v>
      </c>
      <c r="N86" s="2" t="s">
        <v>29</v>
      </c>
      <c r="O86" s="3">
        <v>46109</v>
      </c>
    </row>
    <row r="87" spans="1:15" ht="13.8" x14ac:dyDescent="0.25">
      <c r="A87" s="2" t="str">
        <f t="shared" si="2"/>
        <v>C086</v>
      </c>
      <c r="B87" s="2">
        <v>44</v>
      </c>
      <c r="C87" s="2" t="s">
        <v>24</v>
      </c>
      <c r="D87" s="2" t="s">
        <v>33</v>
      </c>
      <c r="E87" s="2" t="s">
        <v>18</v>
      </c>
      <c r="F87" s="2" t="s">
        <v>38</v>
      </c>
      <c r="G87" s="2">
        <v>15</v>
      </c>
      <c r="H87" s="2">
        <v>3422</v>
      </c>
      <c r="I87" s="2">
        <f t="shared" si="4"/>
        <v>51330</v>
      </c>
      <c r="J87" s="2" t="s">
        <v>41</v>
      </c>
      <c r="K87" s="2" t="s">
        <v>21</v>
      </c>
      <c r="L87" s="2" t="s">
        <v>44</v>
      </c>
      <c r="M87" s="2" t="s">
        <v>18</v>
      </c>
      <c r="N87" s="2" t="s">
        <v>23</v>
      </c>
      <c r="O87" s="3">
        <v>46110</v>
      </c>
    </row>
    <row r="88" spans="1:15" ht="13.8" x14ac:dyDescent="0.25">
      <c r="A88" s="2" t="str">
        <f t="shared" si="2"/>
        <v>C087</v>
      </c>
      <c r="B88" s="2">
        <v>22</v>
      </c>
      <c r="C88" s="2" t="s">
        <v>16</v>
      </c>
      <c r="D88" s="2" t="s">
        <v>36</v>
      </c>
      <c r="E88" s="2" t="s">
        <v>23</v>
      </c>
      <c r="F88" s="2" t="s">
        <v>37</v>
      </c>
      <c r="G88" s="2">
        <v>19</v>
      </c>
      <c r="H88" s="2">
        <v>2231</v>
      </c>
      <c r="I88" s="2">
        <f t="shared" si="4"/>
        <v>42389</v>
      </c>
      <c r="J88" s="2" t="s">
        <v>41</v>
      </c>
      <c r="K88" s="2" t="s">
        <v>32</v>
      </c>
      <c r="L88" t="s">
        <v>28</v>
      </c>
      <c r="M88" s="2" t="s">
        <v>23</v>
      </c>
      <c r="N88" s="2" t="s">
        <v>18</v>
      </c>
      <c r="O88" s="3">
        <v>46111</v>
      </c>
    </row>
    <row r="89" spans="1:15" ht="13.8" x14ac:dyDescent="0.25">
      <c r="A89" s="2" t="str">
        <f t="shared" si="2"/>
        <v>C088</v>
      </c>
      <c r="B89" s="2">
        <v>24</v>
      </c>
      <c r="C89" s="2" t="s">
        <v>24</v>
      </c>
      <c r="D89" s="2" t="s">
        <v>33</v>
      </c>
      <c r="E89" s="2" t="s">
        <v>18</v>
      </c>
      <c r="F89" s="2" t="s">
        <v>40</v>
      </c>
      <c r="G89" s="2">
        <v>15</v>
      </c>
      <c r="H89" s="2">
        <v>4478</v>
      </c>
      <c r="I89" s="2">
        <f t="shared" si="4"/>
        <v>67170</v>
      </c>
      <c r="J89" s="2" t="s">
        <v>20</v>
      </c>
      <c r="K89" s="2" t="s">
        <v>21</v>
      </c>
      <c r="L89" s="2" t="s">
        <v>44</v>
      </c>
      <c r="M89" s="2" t="s">
        <v>18</v>
      </c>
      <c r="N89" s="2" t="s">
        <v>29</v>
      </c>
      <c r="O89" s="3">
        <v>46112</v>
      </c>
    </row>
    <row r="90" spans="1:15" ht="13.8" x14ac:dyDescent="0.25">
      <c r="A90" s="2" t="str">
        <f t="shared" si="2"/>
        <v>C089</v>
      </c>
      <c r="B90" s="2">
        <v>43</v>
      </c>
      <c r="C90" s="2" t="s">
        <v>16</v>
      </c>
      <c r="D90" s="2" t="s">
        <v>30</v>
      </c>
      <c r="E90" s="2" t="s">
        <v>23</v>
      </c>
      <c r="F90" s="2" t="s">
        <v>37</v>
      </c>
      <c r="G90" s="2">
        <v>17</v>
      </c>
      <c r="H90" s="2">
        <v>4344</v>
      </c>
      <c r="I90" s="2">
        <f t="shared" si="4"/>
        <v>73848</v>
      </c>
      <c r="J90" s="2" t="s">
        <v>35</v>
      </c>
      <c r="K90" s="2" t="s">
        <v>21</v>
      </c>
      <c r="L90" t="s">
        <v>28</v>
      </c>
      <c r="M90" s="2" t="s">
        <v>23</v>
      </c>
      <c r="N90" s="2" t="s">
        <v>23</v>
      </c>
      <c r="O90" s="3">
        <v>46113</v>
      </c>
    </row>
    <row r="91" spans="1:15" ht="13.8" x14ac:dyDescent="0.25">
      <c r="A91" s="2" t="str">
        <f t="shared" si="2"/>
        <v>C090</v>
      </c>
      <c r="B91" s="2">
        <v>45</v>
      </c>
      <c r="C91" s="2" t="s">
        <v>24</v>
      </c>
      <c r="D91" s="2" t="s">
        <v>17</v>
      </c>
      <c r="E91" s="2" t="s">
        <v>18</v>
      </c>
      <c r="F91" s="2" t="s">
        <v>38</v>
      </c>
      <c r="G91" s="2">
        <v>13</v>
      </c>
      <c r="H91" s="2">
        <v>1233</v>
      </c>
      <c r="I91" s="2">
        <f t="shared" si="4"/>
        <v>16029</v>
      </c>
      <c r="J91" s="2" t="s">
        <v>27</v>
      </c>
      <c r="K91" s="2" t="s">
        <v>32</v>
      </c>
      <c r="L91" s="2" t="s">
        <v>22</v>
      </c>
      <c r="M91" s="2" t="s">
        <v>18</v>
      </c>
      <c r="N91" s="2" t="s">
        <v>18</v>
      </c>
      <c r="O91" s="3">
        <v>46114</v>
      </c>
    </row>
    <row r="92" spans="1:15" ht="13.8" x14ac:dyDescent="0.25">
      <c r="A92" s="2" t="str">
        <f t="shared" si="2"/>
        <v>C091</v>
      </c>
      <c r="B92" s="2">
        <v>37</v>
      </c>
      <c r="C92" s="2" t="s">
        <v>16</v>
      </c>
      <c r="D92" s="2" t="s">
        <v>25</v>
      </c>
      <c r="E92" s="2" t="s">
        <v>23</v>
      </c>
      <c r="F92" s="2" t="s">
        <v>34</v>
      </c>
      <c r="G92" s="2">
        <v>2</v>
      </c>
      <c r="H92" s="2">
        <v>4322</v>
      </c>
      <c r="I92" s="2">
        <f t="shared" si="4"/>
        <v>8644</v>
      </c>
      <c r="J92" s="2" t="s">
        <v>41</v>
      </c>
      <c r="K92" s="2" t="s">
        <v>21</v>
      </c>
      <c r="L92" t="s">
        <v>28</v>
      </c>
      <c r="M92" s="2" t="s">
        <v>23</v>
      </c>
      <c r="N92" s="2" t="s">
        <v>29</v>
      </c>
      <c r="O92" s="3">
        <v>46115</v>
      </c>
    </row>
    <row r="93" spans="1:15" ht="13.8" x14ac:dyDescent="0.25">
      <c r="A93" s="2" t="str">
        <f t="shared" si="2"/>
        <v>C092</v>
      </c>
      <c r="B93" s="2">
        <v>39</v>
      </c>
      <c r="C93" s="2" t="s">
        <v>24</v>
      </c>
      <c r="D93" s="2" t="s">
        <v>33</v>
      </c>
      <c r="E93" s="2" t="s">
        <v>18</v>
      </c>
      <c r="F93" s="2" t="s">
        <v>26</v>
      </c>
      <c r="G93" s="2">
        <v>4</v>
      </c>
      <c r="H93" s="2">
        <v>3345</v>
      </c>
      <c r="I93" s="2">
        <f t="shared" si="4"/>
        <v>13380</v>
      </c>
      <c r="J93" s="2" t="s">
        <v>42</v>
      </c>
      <c r="K93" s="2" t="s">
        <v>21</v>
      </c>
      <c r="L93" s="2" t="s">
        <v>22</v>
      </c>
      <c r="M93" s="2" t="s">
        <v>18</v>
      </c>
      <c r="N93" s="2" t="s">
        <v>18</v>
      </c>
      <c r="O93" s="3">
        <v>46116</v>
      </c>
    </row>
    <row r="94" spans="1:15" ht="13.8" x14ac:dyDescent="0.25">
      <c r="A94" s="2" t="str">
        <f t="shared" si="2"/>
        <v>C093</v>
      </c>
      <c r="B94" s="2">
        <v>38</v>
      </c>
      <c r="C94" s="2" t="s">
        <v>24</v>
      </c>
      <c r="D94" s="2" t="s">
        <v>30</v>
      </c>
      <c r="E94" s="2" t="s">
        <v>18</v>
      </c>
      <c r="F94" s="2" t="s">
        <v>39</v>
      </c>
      <c r="G94" s="2">
        <v>6</v>
      </c>
      <c r="H94" s="2">
        <v>2231</v>
      </c>
      <c r="I94" s="2">
        <f t="shared" si="4"/>
        <v>13386</v>
      </c>
      <c r="J94" s="2" t="s">
        <v>35</v>
      </c>
      <c r="K94" s="2" t="s">
        <v>32</v>
      </c>
      <c r="L94" t="s">
        <v>28</v>
      </c>
      <c r="M94" s="2" t="s">
        <v>23</v>
      </c>
      <c r="N94" s="2" t="s">
        <v>23</v>
      </c>
      <c r="O94" s="3">
        <v>46117</v>
      </c>
    </row>
    <row r="95" spans="1:15" ht="13.8" x14ac:dyDescent="0.25">
      <c r="A95" s="2" t="str">
        <f t="shared" si="2"/>
        <v>C094</v>
      </c>
      <c r="B95" s="2">
        <v>49</v>
      </c>
      <c r="C95" s="2" t="s">
        <v>16</v>
      </c>
      <c r="D95" s="2" t="s">
        <v>36</v>
      </c>
      <c r="E95" s="2" t="s">
        <v>23</v>
      </c>
      <c r="F95" s="2" t="s">
        <v>19</v>
      </c>
      <c r="G95" s="2">
        <v>7</v>
      </c>
      <c r="H95" s="2">
        <v>2748</v>
      </c>
      <c r="I95" s="2">
        <f t="shared" si="4"/>
        <v>19236</v>
      </c>
      <c r="J95" s="2" t="s">
        <v>41</v>
      </c>
      <c r="K95" s="2" t="s">
        <v>21</v>
      </c>
      <c r="L95" s="2" t="s">
        <v>22</v>
      </c>
      <c r="M95" s="2" t="s">
        <v>18</v>
      </c>
      <c r="N95" s="2" t="s">
        <v>18</v>
      </c>
      <c r="O95" s="3">
        <v>46118</v>
      </c>
    </row>
    <row r="96" spans="1:15" ht="13.8" x14ac:dyDescent="0.25">
      <c r="A96" s="2" t="str">
        <f t="shared" si="2"/>
        <v>C095</v>
      </c>
      <c r="B96" s="2">
        <v>26</v>
      </c>
      <c r="C96" s="2" t="s">
        <v>16</v>
      </c>
      <c r="D96" s="2" t="s">
        <v>25</v>
      </c>
      <c r="E96" s="2" t="s">
        <v>23</v>
      </c>
      <c r="F96" s="2" t="s">
        <v>31</v>
      </c>
      <c r="G96" s="2">
        <v>9</v>
      </c>
      <c r="H96" s="2">
        <v>3567</v>
      </c>
      <c r="I96" s="2">
        <f t="shared" si="4"/>
        <v>32103</v>
      </c>
      <c r="J96" s="2" t="s">
        <v>20</v>
      </c>
      <c r="K96" s="2" t="s">
        <v>32</v>
      </c>
      <c r="L96" t="s">
        <v>28</v>
      </c>
      <c r="M96" s="2" t="s">
        <v>23</v>
      </c>
      <c r="N96" s="2" t="s">
        <v>29</v>
      </c>
      <c r="O96" s="3">
        <v>46119</v>
      </c>
    </row>
    <row r="97" spans="1:15" ht="13.8" x14ac:dyDescent="0.25">
      <c r="A97" s="2" t="str">
        <f t="shared" si="2"/>
        <v>C096</v>
      </c>
      <c r="B97" s="2">
        <v>23</v>
      </c>
      <c r="C97" s="2" t="s">
        <v>16</v>
      </c>
      <c r="D97" s="2" t="s">
        <v>17</v>
      </c>
      <c r="E97" s="2" t="s">
        <v>18</v>
      </c>
      <c r="F97" s="2" t="s">
        <v>40</v>
      </c>
      <c r="G97" s="2">
        <v>5</v>
      </c>
      <c r="H97" s="2">
        <v>4323</v>
      </c>
      <c r="I97" s="2">
        <f t="shared" si="4"/>
        <v>21615</v>
      </c>
      <c r="J97" s="2" t="s">
        <v>27</v>
      </c>
      <c r="K97" s="2" t="s">
        <v>21</v>
      </c>
      <c r="L97" s="2" t="s">
        <v>22</v>
      </c>
      <c r="M97" s="2" t="s">
        <v>18</v>
      </c>
      <c r="N97" s="2" t="s">
        <v>29</v>
      </c>
      <c r="O97" s="3">
        <v>46120</v>
      </c>
    </row>
    <row r="98" spans="1:15" ht="13.8" x14ac:dyDescent="0.25">
      <c r="A98" s="2" t="str">
        <f t="shared" si="2"/>
        <v>C097</v>
      </c>
      <c r="B98" s="2">
        <v>47</v>
      </c>
      <c r="C98" s="2" t="s">
        <v>24</v>
      </c>
      <c r="D98" s="2" t="s">
        <v>36</v>
      </c>
      <c r="E98" s="2" t="s">
        <v>23</v>
      </c>
      <c r="F98" s="2" t="s">
        <v>39</v>
      </c>
      <c r="G98" s="2">
        <v>14</v>
      </c>
      <c r="H98" s="2">
        <v>1324</v>
      </c>
      <c r="I98" s="2">
        <f t="shared" si="4"/>
        <v>18536</v>
      </c>
      <c r="J98" s="2" t="s">
        <v>35</v>
      </c>
      <c r="K98" s="2" t="s">
        <v>21</v>
      </c>
      <c r="L98" t="s">
        <v>28</v>
      </c>
      <c r="M98" s="2" t="s">
        <v>23</v>
      </c>
      <c r="N98" s="2" t="s">
        <v>18</v>
      </c>
      <c r="O98" s="3">
        <v>46121</v>
      </c>
    </row>
    <row r="99" spans="1:15" ht="13.8" x14ac:dyDescent="0.25">
      <c r="A99" s="2" t="str">
        <f t="shared" si="2"/>
        <v>C098</v>
      </c>
      <c r="B99" s="2">
        <v>50</v>
      </c>
      <c r="C99" s="2" t="s">
        <v>16</v>
      </c>
      <c r="D99" s="2" t="s">
        <v>25</v>
      </c>
      <c r="E99" s="2" t="s">
        <v>18</v>
      </c>
      <c r="F99" s="2" t="s">
        <v>38</v>
      </c>
      <c r="G99" s="2">
        <v>16</v>
      </c>
      <c r="H99" s="2">
        <v>3567</v>
      </c>
      <c r="I99" s="2">
        <f t="shared" si="4"/>
        <v>57072</v>
      </c>
      <c r="J99" s="2" t="s">
        <v>42</v>
      </c>
      <c r="K99" s="2" t="s">
        <v>32</v>
      </c>
      <c r="L99" s="2" t="s">
        <v>22</v>
      </c>
      <c r="M99" s="2" t="s">
        <v>18</v>
      </c>
      <c r="N99" s="2" t="s">
        <v>18</v>
      </c>
      <c r="O99" s="3">
        <v>46122</v>
      </c>
    </row>
    <row r="100" spans="1:15" ht="13.8" x14ac:dyDescent="0.25">
      <c r="A100" s="2" t="str">
        <f t="shared" si="2"/>
        <v>C099</v>
      </c>
      <c r="B100" s="2">
        <v>40</v>
      </c>
      <c r="C100" s="2" t="s">
        <v>24</v>
      </c>
      <c r="D100" s="2" t="s">
        <v>33</v>
      </c>
      <c r="E100" s="2" t="s">
        <v>23</v>
      </c>
      <c r="F100" s="2" t="s">
        <v>37</v>
      </c>
      <c r="G100" s="2">
        <v>14</v>
      </c>
      <c r="H100" s="2">
        <v>4398</v>
      </c>
      <c r="I100" s="2">
        <f t="shared" si="4"/>
        <v>61572</v>
      </c>
      <c r="J100" s="2" t="s">
        <v>20</v>
      </c>
      <c r="K100" s="2" t="s">
        <v>32</v>
      </c>
      <c r="L100" t="s">
        <v>28</v>
      </c>
      <c r="M100" s="2" t="s">
        <v>23</v>
      </c>
      <c r="N100" s="2" t="s">
        <v>23</v>
      </c>
      <c r="O100" s="3">
        <v>46123</v>
      </c>
    </row>
    <row r="101" spans="1:15" ht="13.8" x14ac:dyDescent="0.25">
      <c r="A101" s="2" t="str">
        <f t="shared" si="2"/>
        <v>C100</v>
      </c>
      <c r="B101" s="2">
        <v>30</v>
      </c>
      <c r="C101" s="2" t="s">
        <v>16</v>
      </c>
      <c r="D101" s="2" t="s">
        <v>30</v>
      </c>
      <c r="E101" s="2" t="s">
        <v>18</v>
      </c>
      <c r="F101" s="2" t="s">
        <v>34</v>
      </c>
      <c r="G101" s="2">
        <v>15</v>
      </c>
      <c r="H101" s="2">
        <v>4334</v>
      </c>
      <c r="I101" s="2">
        <f t="shared" si="4"/>
        <v>65010</v>
      </c>
      <c r="J101" s="2" t="s">
        <v>27</v>
      </c>
      <c r="K101" s="2" t="s">
        <v>21</v>
      </c>
      <c r="L101" s="2" t="s">
        <v>28</v>
      </c>
      <c r="M101" s="2" t="s">
        <v>18</v>
      </c>
      <c r="N101" s="2" t="s">
        <v>18</v>
      </c>
      <c r="O101" s="3">
        <v>46124</v>
      </c>
    </row>
    <row r="102" spans="1:15" ht="13.8" x14ac:dyDescent="0.25">
      <c r="C102" s="2"/>
      <c r="J102" s="2"/>
      <c r="K102" s="2"/>
      <c r="N102" s="2"/>
    </row>
    <row r="103" spans="1:15" ht="13.8" x14ac:dyDescent="0.25">
      <c r="J103" s="2"/>
      <c r="N103" s="2"/>
    </row>
    <row r="104" spans="1:15" ht="13.8" x14ac:dyDescent="0.25">
      <c r="N10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0E73-9C8B-49B2-BDD7-93A1A1D339D3}">
  <dimension ref="A1:P101"/>
  <sheetViews>
    <sheetView topLeftCell="C1" zoomScale="62" workbookViewId="0">
      <selection activeCell="G123" sqref="G123"/>
    </sheetView>
  </sheetViews>
  <sheetFormatPr defaultRowHeight="14.4" x14ac:dyDescent="0.25"/>
  <cols>
    <col min="1" max="1" width="22.3984375" customWidth="1"/>
    <col min="2" max="2" width="16.59765625" customWidth="1"/>
    <col min="3" max="3" width="9.296875" customWidth="1"/>
    <col min="4" max="4" width="13.09765625" customWidth="1"/>
    <col min="5" max="5" width="14.69921875" customWidth="1"/>
    <col min="6" max="6" width="14.296875" customWidth="1"/>
    <col min="7" max="7" width="23.09765625" customWidth="1"/>
    <col min="8" max="8" width="18.796875" customWidth="1"/>
    <col min="9" max="9" width="16.59765625" customWidth="1"/>
    <col min="10" max="10" width="18.59765625" customWidth="1"/>
    <col min="11" max="11" width="24.69921875" customWidth="1"/>
    <col min="12" max="12" width="19.09765625" customWidth="1"/>
    <col min="13" max="13" width="24.69921875" customWidth="1"/>
    <col min="14" max="14" width="28.69921875" customWidth="1"/>
    <col min="15" max="15" width="23.8984375" customWidth="1"/>
    <col min="16" max="16" width="22.69921875" customWidth="1"/>
  </cols>
  <sheetData>
    <row r="1" spans="1:16" ht="13.8" x14ac:dyDescent="0.25">
      <c r="A1" s="1" t="s">
        <v>3</v>
      </c>
      <c r="B1" s="1" t="s">
        <v>0</v>
      </c>
      <c r="C1" s="1" t="s">
        <v>1</v>
      </c>
      <c r="D1" s="1" t="s">
        <v>4</v>
      </c>
      <c r="E1" s="1" t="s">
        <v>5</v>
      </c>
      <c r="F1" s="1" t="s">
        <v>2</v>
      </c>
      <c r="G1" s="1" t="s">
        <v>6</v>
      </c>
      <c r="H1" s="1" t="s">
        <v>7</v>
      </c>
      <c r="I1" s="1" t="s">
        <v>8</v>
      </c>
      <c r="J1" s="1" t="s">
        <v>9</v>
      </c>
      <c r="K1" s="1" t="s">
        <v>10</v>
      </c>
      <c r="L1" s="1" t="s">
        <v>11</v>
      </c>
      <c r="M1" s="1" t="s">
        <v>12</v>
      </c>
      <c r="N1" s="1" t="s">
        <v>13</v>
      </c>
      <c r="O1" s="1" t="s">
        <v>14</v>
      </c>
      <c r="P1" s="1" t="s">
        <v>15</v>
      </c>
    </row>
    <row r="2" spans="1:16" ht="13.8" x14ac:dyDescent="0.25">
      <c r="A2" s="2" t="str">
        <f>"C"&amp;TEXT(ROW()-1,"000")</f>
        <v>C001</v>
      </c>
      <c r="B2" s="2">
        <v>25</v>
      </c>
      <c r="C2" s="2" t="s">
        <v>16</v>
      </c>
      <c r="D2" s="2" t="s">
        <v>17</v>
      </c>
      <c r="E2" s="2" t="s">
        <v>18</v>
      </c>
      <c r="F2" s="2" t="s">
        <v>19</v>
      </c>
      <c r="G2" s="2">
        <v>5</v>
      </c>
      <c r="H2" s="2">
        <v>1200</v>
      </c>
      <c r="I2" s="2">
        <f>G2*H2</f>
        <v>6000</v>
      </c>
      <c r="J2" s="2" t="s">
        <v>20</v>
      </c>
      <c r="K2" s="2" t="s">
        <v>21</v>
      </c>
      <c r="L2" s="2" t="s">
        <v>22</v>
      </c>
      <c r="M2" s="2" t="s">
        <v>18</v>
      </c>
      <c r="N2" s="2" t="s">
        <v>23</v>
      </c>
      <c r="O2" s="3">
        <v>46025</v>
      </c>
      <c r="P2" s="2"/>
    </row>
    <row r="3" spans="1:16" ht="13.8" x14ac:dyDescent="0.25">
      <c r="A3" s="2" t="str">
        <f t="shared" ref="A3:A66" si="0">"C"&amp;TEXT(ROW()-1,"000")</f>
        <v>C002</v>
      </c>
      <c r="B3" s="2">
        <v>32</v>
      </c>
      <c r="C3" s="2" t="s">
        <v>24</v>
      </c>
      <c r="D3" s="2" t="s">
        <v>25</v>
      </c>
      <c r="E3" s="2" t="s">
        <v>23</v>
      </c>
      <c r="F3" s="2" t="s">
        <v>26</v>
      </c>
      <c r="G3" s="2">
        <v>12</v>
      </c>
      <c r="H3" s="2">
        <v>2500</v>
      </c>
      <c r="I3" s="2">
        <f t="shared" ref="I3:I66" si="1">G3*H3</f>
        <v>30000</v>
      </c>
      <c r="J3" s="2" t="s">
        <v>27</v>
      </c>
      <c r="K3" s="2" t="s">
        <v>21</v>
      </c>
      <c r="L3" s="2" t="s">
        <v>28</v>
      </c>
      <c r="M3" s="2" t="s">
        <v>23</v>
      </c>
      <c r="N3" s="2" t="s">
        <v>29</v>
      </c>
      <c r="O3" s="3">
        <v>46026</v>
      </c>
      <c r="P3" s="2"/>
    </row>
    <row r="4" spans="1:16" ht="13.8" x14ac:dyDescent="0.25">
      <c r="A4" s="2" t="str">
        <f t="shared" si="0"/>
        <v>C003</v>
      </c>
      <c r="B4" s="2">
        <v>40</v>
      </c>
      <c r="C4" s="2" t="s">
        <v>16</v>
      </c>
      <c r="D4" s="2" t="s">
        <v>30</v>
      </c>
      <c r="E4" s="2" t="s">
        <v>23</v>
      </c>
      <c r="F4" s="2" t="s">
        <v>31</v>
      </c>
      <c r="G4" s="2">
        <v>20</v>
      </c>
      <c r="H4" s="2">
        <v>3000</v>
      </c>
      <c r="I4" s="2">
        <f t="shared" si="1"/>
        <v>60000</v>
      </c>
      <c r="J4" s="2" t="s">
        <v>20</v>
      </c>
      <c r="K4" s="2" t="s">
        <v>32</v>
      </c>
      <c r="L4" s="2" t="s">
        <v>28</v>
      </c>
      <c r="M4" s="2" t="s">
        <v>23</v>
      </c>
      <c r="N4" s="2" t="s">
        <v>29</v>
      </c>
      <c r="O4" s="3">
        <v>46027</v>
      </c>
      <c r="P4" s="2"/>
    </row>
    <row r="5" spans="1:16" ht="13.8" x14ac:dyDescent="0.25">
      <c r="A5" s="2" t="str">
        <f t="shared" si="0"/>
        <v>C004</v>
      </c>
      <c r="B5" s="2">
        <v>28</v>
      </c>
      <c r="C5" s="2" t="s">
        <v>24</v>
      </c>
      <c r="D5" s="2" t="s">
        <v>33</v>
      </c>
      <c r="E5" s="2" t="s">
        <v>18</v>
      </c>
      <c r="F5" s="2" t="s">
        <v>34</v>
      </c>
      <c r="G5" s="2">
        <v>8</v>
      </c>
      <c r="H5" s="2">
        <v>1500</v>
      </c>
      <c r="I5" s="2">
        <f t="shared" si="1"/>
        <v>12000</v>
      </c>
      <c r="J5" s="2" t="s">
        <v>35</v>
      </c>
      <c r="K5" s="2" t="s">
        <v>21</v>
      </c>
      <c r="L5" s="2" t="s">
        <v>28</v>
      </c>
      <c r="M5" s="2" t="s">
        <v>18</v>
      </c>
      <c r="N5" s="2" t="s">
        <v>18</v>
      </c>
      <c r="O5" s="3">
        <v>46028</v>
      </c>
      <c r="P5" s="2"/>
    </row>
    <row r="6" spans="1:16" ht="13.8" x14ac:dyDescent="0.25">
      <c r="A6" s="2" t="str">
        <f t="shared" si="0"/>
        <v>C005</v>
      </c>
      <c r="B6" s="2">
        <v>35</v>
      </c>
      <c r="C6" s="2" t="s">
        <v>16</v>
      </c>
      <c r="D6" s="2" t="s">
        <v>36</v>
      </c>
      <c r="E6" s="2" t="s">
        <v>23</v>
      </c>
      <c r="F6" s="2" t="s">
        <v>37</v>
      </c>
      <c r="G6" s="2">
        <v>15</v>
      </c>
      <c r="H6" s="2">
        <v>2800</v>
      </c>
      <c r="I6" s="2">
        <f t="shared" si="1"/>
        <v>42000</v>
      </c>
      <c r="J6" s="2" t="s">
        <v>20</v>
      </c>
      <c r="K6" s="2" t="s">
        <v>32</v>
      </c>
      <c r="L6" s="2" t="s">
        <v>28</v>
      </c>
      <c r="M6" s="2" t="s">
        <v>23</v>
      </c>
      <c r="N6" s="2" t="s">
        <v>29</v>
      </c>
      <c r="O6" s="3">
        <v>46029</v>
      </c>
      <c r="P6" s="2"/>
    </row>
    <row r="7" spans="1:16" ht="13.8" x14ac:dyDescent="0.25">
      <c r="A7" s="2" t="str">
        <f t="shared" si="0"/>
        <v>C006</v>
      </c>
      <c r="B7" s="2">
        <v>21</v>
      </c>
      <c r="C7" s="2" t="s">
        <v>24</v>
      </c>
      <c r="D7" s="2" t="s">
        <v>33</v>
      </c>
      <c r="E7" s="2" t="s">
        <v>18</v>
      </c>
      <c r="F7" s="2" t="s">
        <v>38</v>
      </c>
      <c r="G7" s="2">
        <v>7</v>
      </c>
      <c r="H7" s="2">
        <v>2800</v>
      </c>
      <c r="I7" s="2">
        <f t="shared" si="1"/>
        <v>19600</v>
      </c>
      <c r="J7" s="2" t="s">
        <v>41</v>
      </c>
      <c r="K7" s="2" t="s">
        <v>21</v>
      </c>
      <c r="L7" s="2" t="s">
        <v>22</v>
      </c>
      <c r="M7" s="2" t="s">
        <v>23</v>
      </c>
      <c r="N7" s="2" t="s">
        <v>23</v>
      </c>
      <c r="O7" s="3">
        <v>46030</v>
      </c>
    </row>
    <row r="8" spans="1:16" ht="13.8" x14ac:dyDescent="0.25">
      <c r="A8" s="2" t="str">
        <f t="shared" si="0"/>
        <v>C007</v>
      </c>
      <c r="B8" s="2">
        <v>32</v>
      </c>
      <c r="C8" s="2" t="s">
        <v>16</v>
      </c>
      <c r="D8" s="2" t="s">
        <v>36</v>
      </c>
      <c r="E8" s="2" t="s">
        <v>23</v>
      </c>
      <c r="F8" s="2" t="s">
        <v>39</v>
      </c>
      <c r="G8" s="2">
        <v>4</v>
      </c>
      <c r="H8" s="2">
        <v>2800</v>
      </c>
      <c r="I8" s="2">
        <f t="shared" si="1"/>
        <v>11200</v>
      </c>
      <c r="J8" s="2" t="s">
        <v>20</v>
      </c>
      <c r="K8" s="2" t="s">
        <v>32</v>
      </c>
      <c r="L8" s="2" t="s">
        <v>28</v>
      </c>
      <c r="M8" s="2" t="s">
        <v>18</v>
      </c>
      <c r="N8" s="2" t="s">
        <v>18</v>
      </c>
      <c r="O8" s="3">
        <v>46031</v>
      </c>
    </row>
    <row r="9" spans="1:16" ht="13.8" x14ac:dyDescent="0.25">
      <c r="A9" s="2" t="str">
        <f t="shared" si="0"/>
        <v>C008</v>
      </c>
      <c r="B9" s="2">
        <v>43</v>
      </c>
      <c r="C9" s="2" t="s">
        <v>24</v>
      </c>
      <c r="D9" s="2" t="s">
        <v>25</v>
      </c>
      <c r="E9" s="2" t="s">
        <v>23</v>
      </c>
      <c r="F9" s="2" t="s">
        <v>40</v>
      </c>
      <c r="G9" s="2">
        <v>6</v>
      </c>
      <c r="H9" s="2">
        <v>2367</v>
      </c>
      <c r="I9" s="2">
        <f t="shared" si="1"/>
        <v>14202</v>
      </c>
      <c r="J9" s="2" t="s">
        <v>27</v>
      </c>
      <c r="K9" s="2" t="s">
        <v>21</v>
      </c>
      <c r="L9" s="2" t="s">
        <v>22</v>
      </c>
      <c r="M9" s="2" t="s">
        <v>23</v>
      </c>
      <c r="N9" s="2" t="s">
        <v>29</v>
      </c>
      <c r="O9" s="3">
        <v>46032</v>
      </c>
    </row>
    <row r="10" spans="1:16" ht="13.8" x14ac:dyDescent="0.25">
      <c r="A10" s="2" t="str">
        <f t="shared" si="0"/>
        <v>C009</v>
      </c>
      <c r="B10" s="2">
        <v>34</v>
      </c>
      <c r="C10" s="2" t="s">
        <v>16</v>
      </c>
      <c r="D10" s="2" t="s">
        <v>17</v>
      </c>
      <c r="E10" s="2" t="s">
        <v>18</v>
      </c>
      <c r="F10" s="2" t="s">
        <v>19</v>
      </c>
      <c r="G10" s="2">
        <v>7</v>
      </c>
      <c r="H10" s="2">
        <v>4563</v>
      </c>
      <c r="I10" s="2">
        <f t="shared" si="1"/>
        <v>31941</v>
      </c>
      <c r="J10" s="2" t="s">
        <v>41</v>
      </c>
      <c r="K10" s="2" t="s">
        <v>32</v>
      </c>
      <c r="L10" s="2" t="s">
        <v>28</v>
      </c>
      <c r="M10" s="2" t="s">
        <v>18</v>
      </c>
      <c r="N10" s="2" t="s">
        <v>23</v>
      </c>
      <c r="O10" s="3">
        <v>46033</v>
      </c>
    </row>
    <row r="11" spans="1:16" ht="13.8" x14ac:dyDescent="0.25">
      <c r="A11" s="2" t="str">
        <f t="shared" si="0"/>
        <v>C010</v>
      </c>
      <c r="B11" s="2">
        <v>23</v>
      </c>
      <c r="C11" s="2" t="s">
        <v>16</v>
      </c>
      <c r="D11" s="2" t="s">
        <v>33</v>
      </c>
      <c r="E11" s="2" t="s">
        <v>18</v>
      </c>
      <c r="F11" s="2" t="s">
        <v>26</v>
      </c>
      <c r="G11" s="2">
        <v>5</v>
      </c>
      <c r="H11" s="2">
        <v>2345</v>
      </c>
      <c r="I11" s="2">
        <f t="shared" si="1"/>
        <v>11725</v>
      </c>
      <c r="J11" s="2" t="s">
        <v>35</v>
      </c>
      <c r="K11" s="2" t="s">
        <v>21</v>
      </c>
      <c r="L11" s="2" t="s">
        <v>22</v>
      </c>
      <c r="M11" s="2" t="s">
        <v>23</v>
      </c>
      <c r="N11" s="2" t="s">
        <v>18</v>
      </c>
      <c r="O11" s="3">
        <v>46034</v>
      </c>
    </row>
    <row r="12" spans="1:16" ht="13.8" x14ac:dyDescent="0.25">
      <c r="A12" s="2" t="str">
        <f t="shared" si="0"/>
        <v>C011</v>
      </c>
      <c r="B12" s="2">
        <v>43</v>
      </c>
      <c r="C12" s="2" t="s">
        <v>24</v>
      </c>
      <c r="D12" s="2" t="s">
        <v>36</v>
      </c>
      <c r="E12" s="2" t="s">
        <v>23</v>
      </c>
      <c r="F12" s="2" t="s">
        <v>34</v>
      </c>
      <c r="G12" s="2">
        <v>4</v>
      </c>
      <c r="H12" s="2">
        <v>1678</v>
      </c>
      <c r="I12" s="2">
        <f t="shared" si="1"/>
        <v>6712</v>
      </c>
      <c r="J12" s="2" t="s">
        <v>20</v>
      </c>
      <c r="K12" s="2" t="s">
        <v>32</v>
      </c>
      <c r="L12" s="2" t="s">
        <v>28</v>
      </c>
      <c r="M12" s="2" t="s">
        <v>18</v>
      </c>
      <c r="N12" s="2" t="s">
        <v>29</v>
      </c>
      <c r="O12" s="3">
        <v>46035</v>
      </c>
    </row>
    <row r="13" spans="1:16" ht="13.8" x14ac:dyDescent="0.25">
      <c r="A13" s="2" t="str">
        <f t="shared" si="0"/>
        <v>C012</v>
      </c>
      <c r="B13" s="2">
        <v>33</v>
      </c>
      <c r="C13" s="2" t="s">
        <v>24</v>
      </c>
      <c r="D13" s="2" t="s">
        <v>17</v>
      </c>
      <c r="E13" s="2" t="s">
        <v>18</v>
      </c>
      <c r="F13" s="2" t="s">
        <v>40</v>
      </c>
      <c r="G13" s="2">
        <v>13</v>
      </c>
      <c r="H13" s="2">
        <v>3542</v>
      </c>
      <c r="I13" s="2">
        <f t="shared" si="1"/>
        <v>46046</v>
      </c>
      <c r="J13" s="2" t="s">
        <v>27</v>
      </c>
      <c r="K13" s="2" t="s">
        <v>32</v>
      </c>
      <c r="L13" s="2" t="s">
        <v>22</v>
      </c>
      <c r="M13" s="2" t="s">
        <v>23</v>
      </c>
      <c r="N13" s="2" t="s">
        <v>29</v>
      </c>
      <c r="O13" s="3">
        <v>46036</v>
      </c>
    </row>
    <row r="14" spans="1:16" ht="13.8" x14ac:dyDescent="0.25">
      <c r="A14" s="2" t="str">
        <f t="shared" si="0"/>
        <v>C013</v>
      </c>
      <c r="B14" s="2">
        <v>41</v>
      </c>
      <c r="C14" s="2" t="s">
        <v>16</v>
      </c>
      <c r="D14" s="2" t="s">
        <v>30</v>
      </c>
      <c r="E14" s="2" t="s">
        <v>23</v>
      </c>
      <c r="F14" s="2" t="s">
        <v>37</v>
      </c>
      <c r="G14" s="2">
        <v>14</v>
      </c>
      <c r="H14" s="2">
        <v>1324</v>
      </c>
      <c r="I14" s="2">
        <f t="shared" si="1"/>
        <v>18536</v>
      </c>
      <c r="J14" s="2" t="s">
        <v>35</v>
      </c>
      <c r="K14" s="2" t="s">
        <v>21</v>
      </c>
      <c r="L14" s="2" t="s">
        <v>28</v>
      </c>
      <c r="M14" s="2" t="s">
        <v>18</v>
      </c>
      <c r="N14" s="2" t="s">
        <v>18</v>
      </c>
      <c r="O14" s="3">
        <v>46037</v>
      </c>
    </row>
    <row r="15" spans="1:16" ht="13.8" x14ac:dyDescent="0.25">
      <c r="A15" s="2" t="str">
        <f t="shared" si="0"/>
        <v>C014</v>
      </c>
      <c r="B15" s="2">
        <v>24</v>
      </c>
      <c r="C15" s="2" t="s">
        <v>24</v>
      </c>
      <c r="D15" s="2" t="s">
        <v>25</v>
      </c>
      <c r="E15" s="2" t="s">
        <v>18</v>
      </c>
      <c r="F15" s="2" t="s">
        <v>38</v>
      </c>
      <c r="G15" s="2">
        <v>17</v>
      </c>
      <c r="H15" s="2">
        <v>4325</v>
      </c>
      <c r="I15" s="2">
        <f t="shared" si="1"/>
        <v>73525</v>
      </c>
      <c r="J15" s="2" t="s">
        <v>20</v>
      </c>
      <c r="K15" s="2" t="s">
        <v>32</v>
      </c>
      <c r="L15" s="2" t="s">
        <v>22</v>
      </c>
      <c r="M15" s="2" t="s">
        <v>23</v>
      </c>
      <c r="N15" s="2" t="s">
        <v>23</v>
      </c>
      <c r="O15" s="3">
        <v>46038</v>
      </c>
    </row>
    <row r="16" spans="1:16" ht="13.8" x14ac:dyDescent="0.25">
      <c r="A16" s="2" t="str">
        <f t="shared" si="0"/>
        <v>C015</v>
      </c>
      <c r="B16" s="2">
        <v>44</v>
      </c>
      <c r="C16" s="2" t="s">
        <v>16</v>
      </c>
      <c r="D16" s="2" t="s">
        <v>17</v>
      </c>
      <c r="E16" s="2" t="s">
        <v>23</v>
      </c>
      <c r="F16" s="2" t="s">
        <v>37</v>
      </c>
      <c r="G16" s="2">
        <v>20</v>
      </c>
      <c r="H16" s="2">
        <v>4568</v>
      </c>
      <c r="I16" s="2">
        <f t="shared" si="1"/>
        <v>91360</v>
      </c>
      <c r="J16" s="2" t="s">
        <v>27</v>
      </c>
      <c r="K16" s="2" t="s">
        <v>21</v>
      </c>
      <c r="L16" s="2" t="s">
        <v>28</v>
      </c>
      <c r="M16" s="2" t="s">
        <v>18</v>
      </c>
      <c r="N16" s="2" t="s">
        <v>18</v>
      </c>
      <c r="O16" s="3">
        <v>46039</v>
      </c>
    </row>
    <row r="17" spans="1:15" ht="13.8" x14ac:dyDescent="0.25">
      <c r="A17" s="2" t="str">
        <f t="shared" si="0"/>
        <v>C016</v>
      </c>
      <c r="B17" s="2">
        <v>31</v>
      </c>
      <c r="C17" s="2" t="s">
        <v>24</v>
      </c>
      <c r="D17" s="2" t="s">
        <v>30</v>
      </c>
      <c r="E17" s="2" t="s">
        <v>18</v>
      </c>
      <c r="F17" s="2" t="s">
        <v>26</v>
      </c>
      <c r="G17" s="2">
        <v>18</v>
      </c>
      <c r="H17" s="2">
        <v>2136</v>
      </c>
      <c r="I17" s="2">
        <f t="shared" si="1"/>
        <v>38448</v>
      </c>
      <c r="J17" s="2" t="s">
        <v>41</v>
      </c>
      <c r="K17" s="2" t="s">
        <v>32</v>
      </c>
      <c r="L17" s="2" t="s">
        <v>22</v>
      </c>
      <c r="M17" s="2" t="s">
        <v>23</v>
      </c>
      <c r="N17" s="2" t="s">
        <v>29</v>
      </c>
      <c r="O17" s="3">
        <v>46040</v>
      </c>
    </row>
    <row r="18" spans="1:15" ht="13.8" x14ac:dyDescent="0.25">
      <c r="A18" s="2" t="str">
        <f t="shared" si="0"/>
        <v>C017</v>
      </c>
      <c r="B18" s="2">
        <v>22</v>
      </c>
      <c r="C18" s="2" t="s">
        <v>16</v>
      </c>
      <c r="D18" s="2" t="s">
        <v>17</v>
      </c>
      <c r="F18" s="2" t="s">
        <v>19</v>
      </c>
      <c r="G18" s="2">
        <v>13</v>
      </c>
      <c r="H18" s="2">
        <v>2639</v>
      </c>
      <c r="I18" s="2">
        <f t="shared" si="1"/>
        <v>34307</v>
      </c>
      <c r="J18" s="2" t="s">
        <v>35</v>
      </c>
      <c r="K18" s="2" t="s">
        <v>21</v>
      </c>
      <c r="L18" s="2" t="s">
        <v>28</v>
      </c>
      <c r="M18" s="2" t="s">
        <v>18</v>
      </c>
      <c r="N18" s="2" t="s">
        <v>18</v>
      </c>
      <c r="O18" s="3">
        <v>46041</v>
      </c>
    </row>
    <row r="19" spans="1:15" ht="13.8" x14ac:dyDescent="0.25">
      <c r="A19" s="2" t="str">
        <f t="shared" si="0"/>
        <v>C018</v>
      </c>
      <c r="B19" s="2">
        <v>39</v>
      </c>
      <c r="C19" s="2" t="s">
        <v>24</v>
      </c>
      <c r="D19" s="2" t="s">
        <v>36</v>
      </c>
      <c r="E19" s="2" t="s">
        <v>23</v>
      </c>
      <c r="F19" s="2" t="s">
        <v>34</v>
      </c>
      <c r="G19" s="2">
        <v>3</v>
      </c>
      <c r="H19" s="2">
        <v>3458</v>
      </c>
      <c r="I19" s="2">
        <f t="shared" si="1"/>
        <v>10374</v>
      </c>
      <c r="J19" s="2" t="s">
        <v>27</v>
      </c>
      <c r="K19" s="2" t="s">
        <v>32</v>
      </c>
      <c r="L19" s="2" t="s">
        <v>22</v>
      </c>
      <c r="M19" s="2" t="s">
        <v>23</v>
      </c>
      <c r="N19" s="2" t="s">
        <v>29</v>
      </c>
      <c r="O19" s="3">
        <v>46042</v>
      </c>
    </row>
    <row r="20" spans="1:15" ht="13.8" x14ac:dyDescent="0.25">
      <c r="A20" s="2" t="str">
        <f t="shared" si="0"/>
        <v>C019</v>
      </c>
      <c r="B20" s="2">
        <v>28</v>
      </c>
      <c r="C20" s="2" t="s">
        <v>16</v>
      </c>
      <c r="D20" s="2" t="s">
        <v>33</v>
      </c>
      <c r="E20" s="2" t="s">
        <v>18</v>
      </c>
      <c r="F20" s="2" t="s">
        <v>26</v>
      </c>
      <c r="G20" s="2">
        <v>4</v>
      </c>
      <c r="H20" s="2">
        <v>2456</v>
      </c>
      <c r="I20" s="2">
        <f t="shared" si="1"/>
        <v>9824</v>
      </c>
      <c r="J20" s="2" t="s">
        <v>20</v>
      </c>
      <c r="K20" s="2" t="s">
        <v>21</v>
      </c>
      <c r="L20" s="2" t="s">
        <v>28</v>
      </c>
      <c r="M20" s="2" t="s">
        <v>18</v>
      </c>
      <c r="N20" s="2" t="s">
        <v>23</v>
      </c>
      <c r="O20" s="3">
        <v>46043</v>
      </c>
    </row>
    <row r="21" spans="1:15" ht="13.8" x14ac:dyDescent="0.25">
      <c r="A21" s="2" t="str">
        <f t="shared" si="0"/>
        <v>C020</v>
      </c>
      <c r="B21" s="2">
        <v>30</v>
      </c>
      <c r="C21" s="2" t="s">
        <v>24</v>
      </c>
      <c r="D21" s="2" t="s">
        <v>25</v>
      </c>
      <c r="E21" s="2" t="s">
        <v>18</v>
      </c>
      <c r="F21" s="2" t="s">
        <v>37</v>
      </c>
      <c r="G21" s="2">
        <v>5</v>
      </c>
      <c r="H21" s="2">
        <v>3236</v>
      </c>
      <c r="I21" s="2">
        <f t="shared" si="1"/>
        <v>16180</v>
      </c>
      <c r="J21" s="2" t="s">
        <v>35</v>
      </c>
      <c r="K21" s="2" t="s">
        <v>32</v>
      </c>
      <c r="L21" s="2" t="s">
        <v>28</v>
      </c>
      <c r="M21" s="2" t="s">
        <v>23</v>
      </c>
      <c r="N21" s="2" t="s">
        <v>18</v>
      </c>
      <c r="O21" s="3">
        <v>46044</v>
      </c>
    </row>
    <row r="22" spans="1:15" ht="13.8" x14ac:dyDescent="0.25">
      <c r="A22" s="2" t="str">
        <f t="shared" si="0"/>
        <v>C021</v>
      </c>
      <c r="B22" s="2">
        <v>20</v>
      </c>
      <c r="C22" s="2" t="s">
        <v>16</v>
      </c>
      <c r="D22" s="2" t="s">
        <v>36</v>
      </c>
      <c r="E22" s="2" t="s">
        <v>23</v>
      </c>
      <c r="F22" s="2" t="s">
        <v>38</v>
      </c>
      <c r="G22" s="2">
        <v>16</v>
      </c>
      <c r="H22" s="2">
        <v>4563</v>
      </c>
      <c r="I22" s="2">
        <f t="shared" si="1"/>
        <v>73008</v>
      </c>
      <c r="J22" s="2" t="s">
        <v>41</v>
      </c>
      <c r="K22" s="2" t="s">
        <v>21</v>
      </c>
      <c r="L22" s="2" t="s">
        <v>22</v>
      </c>
      <c r="M22" s="2" t="s">
        <v>18</v>
      </c>
      <c r="N22" s="2" t="s">
        <v>29</v>
      </c>
      <c r="O22" s="3">
        <v>46045</v>
      </c>
    </row>
    <row r="23" spans="1:15" ht="13.8" x14ac:dyDescent="0.25">
      <c r="A23" s="2" t="str">
        <f t="shared" si="0"/>
        <v>C022</v>
      </c>
      <c r="B23" s="2">
        <v>28</v>
      </c>
      <c r="C23" s="2" t="s">
        <v>24</v>
      </c>
      <c r="D23" s="2" t="s">
        <v>30</v>
      </c>
      <c r="E23" s="2" t="s">
        <v>23</v>
      </c>
      <c r="F23" s="2" t="s">
        <v>19</v>
      </c>
      <c r="G23" s="2">
        <v>18</v>
      </c>
      <c r="H23" s="2">
        <v>2345</v>
      </c>
      <c r="I23" s="2">
        <f t="shared" si="1"/>
        <v>42210</v>
      </c>
      <c r="J23" s="2" t="s">
        <v>35</v>
      </c>
      <c r="K23" s="2" t="s">
        <v>43</v>
      </c>
      <c r="L23" s="2" t="s">
        <v>28</v>
      </c>
      <c r="M23" s="2" t="s">
        <v>23</v>
      </c>
      <c r="N23" s="2" t="s">
        <v>23</v>
      </c>
      <c r="O23" s="3">
        <v>46046</v>
      </c>
    </row>
    <row r="24" spans="1:15" ht="13.8" x14ac:dyDescent="0.25">
      <c r="A24" s="2" t="str">
        <f t="shared" si="0"/>
        <v>C023</v>
      </c>
      <c r="B24" s="2">
        <v>37</v>
      </c>
      <c r="C24" s="2" t="s">
        <v>16</v>
      </c>
      <c r="D24" s="2" t="s">
        <v>17</v>
      </c>
      <c r="E24" s="2" t="s">
        <v>18</v>
      </c>
      <c r="F24" s="2" t="s">
        <v>31</v>
      </c>
      <c r="G24" s="2">
        <v>14</v>
      </c>
      <c r="H24" s="2">
        <v>1324</v>
      </c>
      <c r="I24" s="2">
        <f t="shared" si="1"/>
        <v>18536</v>
      </c>
      <c r="J24" s="2" t="s">
        <v>20</v>
      </c>
      <c r="K24" s="2" t="s">
        <v>32</v>
      </c>
      <c r="L24" t="s">
        <v>22</v>
      </c>
      <c r="M24" s="2" t="s">
        <v>18</v>
      </c>
      <c r="N24" s="2" t="s">
        <v>18</v>
      </c>
      <c r="O24" s="3">
        <v>46047</v>
      </c>
    </row>
    <row r="25" spans="1:15" ht="13.8" x14ac:dyDescent="0.25">
      <c r="A25" s="2" t="str">
        <f t="shared" si="0"/>
        <v>C024</v>
      </c>
      <c r="B25" s="2">
        <v>48</v>
      </c>
      <c r="C25" s="2" t="s">
        <v>24</v>
      </c>
      <c r="D25" s="2" t="s">
        <v>17</v>
      </c>
      <c r="E25" s="2" t="s">
        <v>23</v>
      </c>
      <c r="F25" s="2" t="s">
        <v>31</v>
      </c>
      <c r="G25" s="2">
        <v>15</v>
      </c>
      <c r="H25" s="2">
        <v>3465</v>
      </c>
      <c r="I25" s="2">
        <f t="shared" si="1"/>
        <v>51975</v>
      </c>
      <c r="J25" s="2" t="s">
        <v>41</v>
      </c>
      <c r="K25" s="2" t="s">
        <v>21</v>
      </c>
      <c r="L25" s="2" t="s">
        <v>22</v>
      </c>
      <c r="M25" s="2" t="s">
        <v>23</v>
      </c>
      <c r="N25" s="2" t="s">
        <v>29</v>
      </c>
      <c r="O25" s="3">
        <v>46048</v>
      </c>
    </row>
    <row r="26" spans="1:15" ht="13.8" x14ac:dyDescent="0.25">
      <c r="A26" s="2" t="str">
        <f t="shared" si="0"/>
        <v>C025</v>
      </c>
      <c r="B26" s="2">
        <v>45</v>
      </c>
      <c r="C26" s="2" t="s">
        <v>16</v>
      </c>
      <c r="D26" s="2" t="s">
        <v>30</v>
      </c>
      <c r="E26" s="2" t="s">
        <v>18</v>
      </c>
      <c r="F26" s="2" t="s">
        <v>38</v>
      </c>
      <c r="G26" s="2">
        <v>6</v>
      </c>
      <c r="H26" s="2">
        <v>4325</v>
      </c>
      <c r="I26" s="2">
        <f t="shared" si="1"/>
        <v>25950</v>
      </c>
      <c r="J26" s="2" t="s">
        <v>27</v>
      </c>
      <c r="K26" s="2" t="s">
        <v>32</v>
      </c>
      <c r="L26" t="s">
        <v>22</v>
      </c>
      <c r="M26" s="2" t="s">
        <v>18</v>
      </c>
      <c r="N26" s="2" t="s">
        <v>29</v>
      </c>
      <c r="O26" s="3">
        <v>46049</v>
      </c>
    </row>
    <row r="27" spans="1:15" ht="13.8" x14ac:dyDescent="0.25">
      <c r="A27" s="2" t="str">
        <f t="shared" si="0"/>
        <v>C026</v>
      </c>
      <c r="B27" s="2">
        <v>35</v>
      </c>
      <c r="C27" s="2" t="s">
        <v>24</v>
      </c>
      <c r="D27" s="2" t="s">
        <v>33</v>
      </c>
      <c r="E27" s="2" t="s">
        <v>23</v>
      </c>
      <c r="F27" s="2" t="s">
        <v>34</v>
      </c>
      <c r="G27" s="2">
        <v>8</v>
      </c>
      <c r="H27" s="2">
        <v>3452</v>
      </c>
      <c r="I27" s="2">
        <f t="shared" si="1"/>
        <v>27616</v>
      </c>
      <c r="J27" s="2" t="s">
        <v>20</v>
      </c>
      <c r="K27" s="2" t="s">
        <v>21</v>
      </c>
      <c r="L27" s="2" t="s">
        <v>28</v>
      </c>
      <c r="M27" s="2" t="s">
        <v>23</v>
      </c>
      <c r="N27" s="2" t="s">
        <v>18</v>
      </c>
      <c r="O27" s="3">
        <v>46050</v>
      </c>
    </row>
    <row r="28" spans="1:15" ht="13.8" x14ac:dyDescent="0.25">
      <c r="A28" s="2" t="str">
        <f t="shared" si="0"/>
        <v>C027</v>
      </c>
      <c r="B28" s="2">
        <v>36</v>
      </c>
      <c r="C28" s="2" t="s">
        <v>16</v>
      </c>
      <c r="D28" s="2" t="s">
        <v>25</v>
      </c>
      <c r="E28" s="2" t="s">
        <v>18</v>
      </c>
      <c r="F28" s="2" t="s">
        <v>37</v>
      </c>
      <c r="G28" s="2">
        <v>9</v>
      </c>
      <c r="H28" s="2">
        <v>3123</v>
      </c>
      <c r="I28" s="2">
        <f t="shared" si="1"/>
        <v>28107</v>
      </c>
      <c r="J28" s="2" t="s">
        <v>41</v>
      </c>
      <c r="K28" s="2" t="s">
        <v>32</v>
      </c>
      <c r="L28" t="s">
        <v>28</v>
      </c>
      <c r="M28" s="2" t="s">
        <v>18</v>
      </c>
      <c r="N28" s="2" t="s">
        <v>23</v>
      </c>
      <c r="O28" s="3">
        <v>46051</v>
      </c>
    </row>
    <row r="29" spans="1:15" ht="13.8" x14ac:dyDescent="0.25">
      <c r="A29" s="2" t="str">
        <f t="shared" si="0"/>
        <v>C028</v>
      </c>
      <c r="B29" s="2">
        <v>26</v>
      </c>
      <c r="C29" s="2" t="s">
        <v>24</v>
      </c>
      <c r="D29" s="2" t="s">
        <v>36</v>
      </c>
      <c r="E29" s="2" t="s">
        <v>23</v>
      </c>
      <c r="F29" s="2" t="s">
        <v>26</v>
      </c>
      <c r="G29" s="2">
        <v>1</v>
      </c>
      <c r="H29" s="2">
        <v>3325</v>
      </c>
      <c r="I29" s="2">
        <f t="shared" si="1"/>
        <v>3325</v>
      </c>
      <c r="J29" s="2" t="s">
        <v>35</v>
      </c>
      <c r="K29" s="2" t="s">
        <v>21</v>
      </c>
      <c r="L29" s="2" t="s">
        <v>28</v>
      </c>
      <c r="M29" s="2" t="s">
        <v>23</v>
      </c>
      <c r="N29" s="2" t="s">
        <v>18</v>
      </c>
      <c r="O29" s="3">
        <v>46052</v>
      </c>
    </row>
    <row r="30" spans="1:15" ht="13.8" x14ac:dyDescent="0.25">
      <c r="A30" s="2" t="str">
        <f t="shared" si="0"/>
        <v>C029</v>
      </c>
      <c r="B30" s="2">
        <v>36</v>
      </c>
      <c r="C30" s="2" t="s">
        <v>24</v>
      </c>
      <c r="D30" s="2" t="s">
        <v>33</v>
      </c>
      <c r="E30" s="2" t="s">
        <v>23</v>
      </c>
      <c r="F30" s="2" t="s">
        <v>19</v>
      </c>
      <c r="G30" s="2">
        <v>20</v>
      </c>
      <c r="H30" s="2">
        <v>3679</v>
      </c>
      <c r="I30" s="2">
        <f t="shared" si="1"/>
        <v>73580</v>
      </c>
      <c r="J30" s="2" t="s">
        <v>27</v>
      </c>
      <c r="K30" s="2" t="s">
        <v>32</v>
      </c>
      <c r="L30" t="s">
        <v>22</v>
      </c>
      <c r="M30" s="2" t="s">
        <v>18</v>
      </c>
      <c r="N30" s="2" t="s">
        <v>29</v>
      </c>
      <c r="O30" s="3">
        <v>46053</v>
      </c>
    </row>
    <row r="31" spans="1:15" ht="13.8" x14ac:dyDescent="0.25">
      <c r="A31" s="2" t="str">
        <f t="shared" si="0"/>
        <v>C030</v>
      </c>
      <c r="B31" s="2">
        <v>48</v>
      </c>
      <c r="C31" s="2" t="s">
        <v>16</v>
      </c>
      <c r="D31" s="2" t="s">
        <v>30</v>
      </c>
      <c r="E31" s="2" t="s">
        <v>18</v>
      </c>
      <c r="F31" s="2" t="s">
        <v>38</v>
      </c>
      <c r="G31" s="2">
        <v>19</v>
      </c>
      <c r="H31" s="2">
        <v>2890</v>
      </c>
      <c r="I31" s="2">
        <f t="shared" si="1"/>
        <v>54910</v>
      </c>
      <c r="J31" s="2" t="s">
        <v>20</v>
      </c>
      <c r="K31" s="2" t="s">
        <v>21</v>
      </c>
      <c r="L31" s="2" t="s">
        <v>28</v>
      </c>
      <c r="M31" s="2" t="s">
        <v>23</v>
      </c>
      <c r="N31" s="2" t="s">
        <v>29</v>
      </c>
      <c r="O31" s="3">
        <v>46054</v>
      </c>
    </row>
    <row r="32" spans="1:15" ht="13.8" x14ac:dyDescent="0.25">
      <c r="A32" s="2" t="str">
        <f t="shared" si="0"/>
        <v>C031</v>
      </c>
      <c r="B32" s="2">
        <v>49</v>
      </c>
      <c r="C32" s="2" t="s">
        <v>24</v>
      </c>
      <c r="D32" s="2" t="s">
        <v>17</v>
      </c>
      <c r="E32" s="2" t="s">
        <v>23</v>
      </c>
      <c r="F32" s="2" t="s">
        <v>34</v>
      </c>
      <c r="G32" s="2">
        <v>18</v>
      </c>
      <c r="H32" s="2">
        <v>1345</v>
      </c>
      <c r="I32" s="2">
        <f>G32*H32</f>
        <v>24210</v>
      </c>
      <c r="J32" s="2" t="s">
        <v>41</v>
      </c>
      <c r="K32" s="2" t="s">
        <v>32</v>
      </c>
      <c r="L32" t="s">
        <v>22</v>
      </c>
      <c r="M32" s="2" t="s">
        <v>18</v>
      </c>
      <c r="N32" s="2" t="s">
        <v>18</v>
      </c>
      <c r="O32" s="3">
        <v>46055</v>
      </c>
    </row>
    <row r="33" spans="1:15" ht="13.8" x14ac:dyDescent="0.25">
      <c r="A33" s="2" t="str">
        <f t="shared" si="0"/>
        <v>C032</v>
      </c>
      <c r="B33" s="2">
        <v>36</v>
      </c>
      <c r="C33" s="2" t="s">
        <v>16</v>
      </c>
      <c r="D33" s="2" t="s">
        <v>25</v>
      </c>
      <c r="E33" s="2" t="s">
        <v>18</v>
      </c>
      <c r="F33" s="2" t="s">
        <v>37</v>
      </c>
      <c r="G33" s="2">
        <v>16</v>
      </c>
      <c r="H33" s="2">
        <v>3678</v>
      </c>
      <c r="I33" s="2">
        <f t="shared" si="1"/>
        <v>58848</v>
      </c>
      <c r="J33" s="2" t="s">
        <v>35</v>
      </c>
      <c r="K33" s="2" t="s">
        <v>21</v>
      </c>
      <c r="L33" s="2" t="s">
        <v>28</v>
      </c>
      <c r="M33" s="2" t="s">
        <v>23</v>
      </c>
      <c r="N33" s="2" t="s">
        <v>23</v>
      </c>
      <c r="O33" s="3">
        <v>46056</v>
      </c>
    </row>
    <row r="34" spans="1:15" ht="13.8" x14ac:dyDescent="0.25">
      <c r="A34" s="2" t="str">
        <f t="shared" si="0"/>
        <v>C033</v>
      </c>
      <c r="B34" s="2">
        <v>50</v>
      </c>
      <c r="C34" s="2" t="s">
        <v>24</v>
      </c>
      <c r="D34" s="2" t="s">
        <v>33</v>
      </c>
      <c r="E34" s="2" t="s">
        <v>23</v>
      </c>
      <c r="F34" s="2" t="s">
        <v>31</v>
      </c>
      <c r="G34" s="2">
        <v>3</v>
      </c>
      <c r="H34" s="2">
        <v>1478</v>
      </c>
      <c r="I34" s="2">
        <f t="shared" si="1"/>
        <v>4434</v>
      </c>
      <c r="J34" s="2" t="s">
        <v>27</v>
      </c>
      <c r="K34" s="2" t="s">
        <v>32</v>
      </c>
      <c r="L34" t="s">
        <v>22</v>
      </c>
      <c r="M34" s="2" t="s">
        <v>18</v>
      </c>
      <c r="N34" s="2" t="s">
        <v>18</v>
      </c>
      <c r="O34" s="3">
        <v>46057</v>
      </c>
    </row>
    <row r="35" spans="1:15" ht="13.8" x14ac:dyDescent="0.25">
      <c r="A35" s="2" t="str">
        <f t="shared" si="0"/>
        <v>C034</v>
      </c>
      <c r="B35" s="2">
        <v>32</v>
      </c>
      <c r="C35" s="2" t="s">
        <v>16</v>
      </c>
      <c r="D35" s="2" t="s">
        <v>30</v>
      </c>
      <c r="E35" s="2" t="s">
        <v>18</v>
      </c>
      <c r="F35" s="2" t="s">
        <v>26</v>
      </c>
      <c r="G35" s="2">
        <v>8</v>
      </c>
      <c r="H35" s="2">
        <v>3589</v>
      </c>
      <c r="I35" s="2">
        <f t="shared" si="1"/>
        <v>28712</v>
      </c>
      <c r="J35" s="2" t="s">
        <v>42</v>
      </c>
      <c r="K35" s="2" t="s">
        <v>21</v>
      </c>
      <c r="L35" s="2" t="s">
        <v>28</v>
      </c>
      <c r="M35" s="2" t="s">
        <v>23</v>
      </c>
      <c r="N35" s="2" t="s">
        <v>29</v>
      </c>
      <c r="O35" s="3">
        <v>46058</v>
      </c>
    </row>
    <row r="36" spans="1:15" ht="13.8" x14ac:dyDescent="0.25">
      <c r="A36" s="2" t="str">
        <f t="shared" si="0"/>
        <v>C035</v>
      </c>
      <c r="B36" s="2">
        <v>37</v>
      </c>
      <c r="C36" s="2" t="s">
        <v>24</v>
      </c>
      <c r="D36" s="2" t="s">
        <v>36</v>
      </c>
      <c r="E36" s="2" t="s">
        <v>23</v>
      </c>
      <c r="F36" s="2" t="s">
        <v>34</v>
      </c>
      <c r="G36" s="2">
        <v>4</v>
      </c>
      <c r="H36" s="2">
        <v>2456</v>
      </c>
      <c r="I36" s="2">
        <f t="shared" si="1"/>
        <v>9824</v>
      </c>
      <c r="J36" s="2" t="s">
        <v>27</v>
      </c>
      <c r="K36" s="2" t="s">
        <v>32</v>
      </c>
      <c r="L36" t="s">
        <v>22</v>
      </c>
      <c r="M36" s="2" t="s">
        <v>18</v>
      </c>
      <c r="N36" s="2" t="s">
        <v>23</v>
      </c>
      <c r="O36" s="3">
        <v>46059</v>
      </c>
    </row>
    <row r="37" spans="1:15" ht="13.8" x14ac:dyDescent="0.25">
      <c r="A37" s="2" t="str">
        <f t="shared" si="0"/>
        <v>C036</v>
      </c>
      <c r="B37" s="2">
        <v>48</v>
      </c>
      <c r="C37" s="2" t="s">
        <v>16</v>
      </c>
      <c r="D37" s="2" t="s">
        <v>17</v>
      </c>
      <c r="E37" s="2" t="s">
        <v>18</v>
      </c>
      <c r="F37" s="2" t="s">
        <v>19</v>
      </c>
      <c r="G37" s="2">
        <v>9</v>
      </c>
      <c r="H37" s="2">
        <v>3479</v>
      </c>
      <c r="I37" s="2">
        <f t="shared" si="1"/>
        <v>31311</v>
      </c>
      <c r="J37" s="2" t="s">
        <v>42</v>
      </c>
      <c r="K37" s="2" t="s">
        <v>21</v>
      </c>
      <c r="L37" s="2" t="s">
        <v>28</v>
      </c>
      <c r="M37" s="2" t="s">
        <v>23</v>
      </c>
      <c r="N37" s="2" t="s">
        <v>18</v>
      </c>
      <c r="O37" s="3">
        <v>46060</v>
      </c>
    </row>
    <row r="38" spans="1:15" ht="13.8" x14ac:dyDescent="0.25">
      <c r="A38" s="2" t="str">
        <f t="shared" si="0"/>
        <v>C037</v>
      </c>
      <c r="B38" s="2">
        <v>39</v>
      </c>
      <c r="C38" s="2" t="s">
        <v>16</v>
      </c>
      <c r="D38" s="2" t="s">
        <v>17</v>
      </c>
      <c r="E38" s="2" t="s">
        <v>23</v>
      </c>
      <c r="F38" s="2" t="s">
        <v>37</v>
      </c>
      <c r="G38" s="2">
        <v>3</v>
      </c>
      <c r="H38" s="2">
        <v>1468</v>
      </c>
      <c r="I38" s="2">
        <f t="shared" si="1"/>
        <v>4404</v>
      </c>
      <c r="J38" s="2" t="s">
        <v>20</v>
      </c>
      <c r="K38" s="2" t="s">
        <v>32</v>
      </c>
      <c r="L38" t="s">
        <v>22</v>
      </c>
      <c r="M38" s="2" t="s">
        <v>18</v>
      </c>
      <c r="N38" s="2" t="s">
        <v>29</v>
      </c>
      <c r="O38" s="3">
        <v>46061</v>
      </c>
    </row>
    <row r="39" spans="1:15" ht="13.8" x14ac:dyDescent="0.25">
      <c r="A39" s="2" t="str">
        <f t="shared" si="0"/>
        <v>C038</v>
      </c>
      <c r="B39" s="2">
        <v>26</v>
      </c>
      <c r="C39" s="2" t="s">
        <v>24</v>
      </c>
      <c r="D39" s="2" t="s">
        <v>30</v>
      </c>
      <c r="E39" s="2" t="s">
        <v>23</v>
      </c>
      <c r="F39" s="2" t="s">
        <v>31</v>
      </c>
      <c r="G39" s="2">
        <v>6</v>
      </c>
      <c r="H39" s="2">
        <v>2768</v>
      </c>
      <c r="I39" s="2">
        <f t="shared" si="1"/>
        <v>16608</v>
      </c>
      <c r="J39" s="2" t="s">
        <v>35</v>
      </c>
      <c r="K39" s="2" t="s">
        <v>21</v>
      </c>
      <c r="L39" s="2" t="s">
        <v>28</v>
      </c>
      <c r="M39" s="2" t="s">
        <v>23</v>
      </c>
      <c r="N39" s="2" t="s">
        <v>23</v>
      </c>
      <c r="O39" s="3">
        <v>46062</v>
      </c>
    </row>
    <row r="40" spans="1:15" ht="13.8" x14ac:dyDescent="0.25">
      <c r="A40" s="2" t="str">
        <f t="shared" si="0"/>
        <v>C039</v>
      </c>
      <c r="B40" s="2">
        <v>39</v>
      </c>
      <c r="C40" s="2" t="s">
        <v>16</v>
      </c>
      <c r="D40" s="2" t="s">
        <v>36</v>
      </c>
      <c r="E40" s="2" t="s">
        <v>18</v>
      </c>
      <c r="F40" s="2" t="s">
        <v>40</v>
      </c>
      <c r="G40" s="2">
        <v>13</v>
      </c>
      <c r="H40" s="2">
        <v>4789</v>
      </c>
      <c r="I40" s="2">
        <f t="shared" si="1"/>
        <v>62257</v>
      </c>
      <c r="J40" s="2" t="s">
        <v>41</v>
      </c>
      <c r="K40" s="2" t="s">
        <v>32</v>
      </c>
      <c r="L40" t="s">
        <v>22</v>
      </c>
      <c r="M40" s="2" t="s">
        <v>18</v>
      </c>
      <c r="N40" s="2" t="s">
        <v>18</v>
      </c>
      <c r="O40" s="3">
        <v>46063</v>
      </c>
    </row>
    <row r="41" spans="1:15" ht="13.8" x14ac:dyDescent="0.25">
      <c r="A41" s="2" t="str">
        <f t="shared" si="0"/>
        <v>C040</v>
      </c>
      <c r="B41" s="2">
        <v>45</v>
      </c>
      <c r="C41" s="2" t="s">
        <v>24</v>
      </c>
      <c r="D41" s="2" t="s">
        <v>33</v>
      </c>
      <c r="E41" s="2" t="s">
        <v>18</v>
      </c>
      <c r="F41" s="2" t="s">
        <v>39</v>
      </c>
      <c r="G41" s="2">
        <v>17</v>
      </c>
      <c r="H41" s="2">
        <v>3567</v>
      </c>
      <c r="I41" s="2">
        <f t="shared" si="1"/>
        <v>60639</v>
      </c>
      <c r="J41" s="2" t="s">
        <v>27</v>
      </c>
      <c r="K41" s="2" t="s">
        <v>21</v>
      </c>
      <c r="L41" s="2" t="s">
        <v>28</v>
      </c>
      <c r="M41" s="2" t="s">
        <v>23</v>
      </c>
      <c r="N41" s="2" t="s">
        <v>29</v>
      </c>
      <c r="O41" s="3">
        <v>46064</v>
      </c>
    </row>
    <row r="42" spans="1:15" ht="13.8" x14ac:dyDescent="0.25">
      <c r="A42" s="2" t="str">
        <f t="shared" si="0"/>
        <v>C041</v>
      </c>
      <c r="B42" s="2">
        <v>35</v>
      </c>
      <c r="C42" s="2" t="s">
        <v>16</v>
      </c>
      <c r="D42" s="2" t="s">
        <v>17</v>
      </c>
      <c r="E42" s="2" t="s">
        <v>23</v>
      </c>
      <c r="F42" s="2" t="s">
        <v>40</v>
      </c>
      <c r="G42" s="2">
        <v>18</v>
      </c>
      <c r="H42" s="2">
        <v>4678</v>
      </c>
      <c r="I42" s="2">
        <f t="shared" si="1"/>
        <v>84204</v>
      </c>
      <c r="J42" s="2" t="s">
        <v>42</v>
      </c>
      <c r="K42" s="2" t="s">
        <v>32</v>
      </c>
      <c r="L42" t="s">
        <v>22</v>
      </c>
      <c r="M42" s="2" t="s">
        <v>18</v>
      </c>
      <c r="N42" s="2" t="s">
        <v>23</v>
      </c>
      <c r="O42" s="3">
        <v>46065</v>
      </c>
    </row>
    <row r="43" spans="1:15" ht="13.8" x14ac:dyDescent="0.25">
      <c r="A43" s="2" t="str">
        <f t="shared" si="0"/>
        <v>C042</v>
      </c>
      <c r="B43" s="2">
        <v>27</v>
      </c>
      <c r="C43" s="2" t="s">
        <v>24</v>
      </c>
      <c r="D43" s="2" t="s">
        <v>25</v>
      </c>
      <c r="E43" s="2" t="s">
        <v>18</v>
      </c>
      <c r="F43" s="2" t="s">
        <v>39</v>
      </c>
      <c r="G43" s="2">
        <v>20</v>
      </c>
      <c r="H43" s="2">
        <v>4689</v>
      </c>
      <c r="I43" s="2">
        <f t="shared" si="1"/>
        <v>93780</v>
      </c>
      <c r="J43" s="2" t="s">
        <v>35</v>
      </c>
      <c r="K43" s="2" t="s">
        <v>21</v>
      </c>
      <c r="L43" s="2" t="s">
        <v>28</v>
      </c>
      <c r="M43" s="2" t="s">
        <v>23</v>
      </c>
      <c r="N43" s="2" t="s">
        <v>18</v>
      </c>
      <c r="O43" s="3">
        <v>46066</v>
      </c>
    </row>
    <row r="44" spans="1:15" ht="13.8" x14ac:dyDescent="0.25">
      <c r="A44" s="2" t="str">
        <f t="shared" si="0"/>
        <v>C043</v>
      </c>
      <c r="B44" s="2">
        <v>37</v>
      </c>
      <c r="C44" s="2" t="s">
        <v>16</v>
      </c>
      <c r="D44" s="2" t="s">
        <v>33</v>
      </c>
      <c r="E44" s="2" t="s">
        <v>23</v>
      </c>
      <c r="F44" s="2" t="s">
        <v>40</v>
      </c>
      <c r="G44" s="2">
        <v>4</v>
      </c>
      <c r="H44" s="2">
        <v>4678</v>
      </c>
      <c r="I44" s="2">
        <f t="shared" si="1"/>
        <v>18712</v>
      </c>
      <c r="J44" s="2" t="s">
        <v>41</v>
      </c>
      <c r="K44" s="2" t="s">
        <v>32</v>
      </c>
      <c r="L44" t="s">
        <v>22</v>
      </c>
      <c r="M44" s="2" t="s">
        <v>18</v>
      </c>
      <c r="N44" s="2" t="s">
        <v>29</v>
      </c>
      <c r="O44" s="3">
        <v>46067</v>
      </c>
    </row>
    <row r="45" spans="1:15" ht="13.8" x14ac:dyDescent="0.25">
      <c r="A45" s="2" t="str">
        <f t="shared" si="0"/>
        <v>C044</v>
      </c>
      <c r="B45" s="2">
        <v>48</v>
      </c>
      <c r="C45" s="2" t="s">
        <v>24</v>
      </c>
      <c r="D45" s="2" t="s">
        <v>30</v>
      </c>
      <c r="E45" s="2" t="s">
        <v>18</v>
      </c>
      <c r="F45" s="2" t="s">
        <v>39</v>
      </c>
      <c r="G45" s="2">
        <v>2</v>
      </c>
      <c r="H45" s="2">
        <v>2672</v>
      </c>
      <c r="I45" s="2">
        <f t="shared" si="1"/>
        <v>5344</v>
      </c>
      <c r="J45" s="2" t="s">
        <v>20</v>
      </c>
      <c r="K45" s="2" t="s">
        <v>32</v>
      </c>
      <c r="L45" s="2" t="s">
        <v>28</v>
      </c>
      <c r="M45" s="2" t="s">
        <v>23</v>
      </c>
      <c r="N45" s="2" t="s">
        <v>23</v>
      </c>
      <c r="O45" s="3">
        <v>46068</v>
      </c>
    </row>
    <row r="46" spans="1:15" ht="13.8" x14ac:dyDescent="0.25">
      <c r="A46" s="2" t="str">
        <f t="shared" si="0"/>
        <v>C045</v>
      </c>
      <c r="B46" s="2">
        <v>50</v>
      </c>
      <c r="C46" s="2" t="s">
        <v>16</v>
      </c>
      <c r="D46" s="2" t="s">
        <v>36</v>
      </c>
      <c r="E46" s="2" t="s">
        <v>23</v>
      </c>
      <c r="F46" s="2" t="s">
        <v>19</v>
      </c>
      <c r="G46" s="2">
        <v>12</v>
      </c>
      <c r="H46" s="2">
        <v>788</v>
      </c>
      <c r="I46" s="2">
        <f t="shared" si="1"/>
        <v>9456</v>
      </c>
      <c r="J46" s="2" t="s">
        <v>42</v>
      </c>
      <c r="K46" s="2" t="s">
        <v>21</v>
      </c>
      <c r="L46" t="s">
        <v>22</v>
      </c>
      <c r="M46" s="2" t="s">
        <v>18</v>
      </c>
      <c r="N46" s="2" t="s">
        <v>18</v>
      </c>
      <c r="O46" s="3">
        <v>46069</v>
      </c>
    </row>
    <row r="47" spans="1:15" ht="13.8" x14ac:dyDescent="0.25">
      <c r="A47" s="2" t="str">
        <f t="shared" si="0"/>
        <v>C046</v>
      </c>
      <c r="B47" s="2">
        <v>20</v>
      </c>
      <c r="C47" s="2" t="s">
        <v>16</v>
      </c>
      <c r="D47" s="2" t="s">
        <v>17</v>
      </c>
      <c r="E47" s="2" t="s">
        <v>18</v>
      </c>
      <c r="F47" s="2" t="s">
        <v>31</v>
      </c>
      <c r="G47" s="2">
        <v>10</v>
      </c>
      <c r="H47" s="2">
        <v>1356</v>
      </c>
      <c r="I47" s="2">
        <f t="shared" si="1"/>
        <v>13560</v>
      </c>
      <c r="J47" s="2" t="s">
        <v>35</v>
      </c>
      <c r="K47" s="2" t="s">
        <v>21</v>
      </c>
      <c r="L47" s="2" t="s">
        <v>28</v>
      </c>
      <c r="M47" s="2" t="s">
        <v>23</v>
      </c>
      <c r="N47" s="2" t="s">
        <v>29</v>
      </c>
      <c r="O47" s="3">
        <v>46070</v>
      </c>
    </row>
    <row r="48" spans="1:15" ht="13.8" x14ac:dyDescent="0.25">
      <c r="A48" s="2" t="str">
        <f t="shared" si="0"/>
        <v>C047</v>
      </c>
      <c r="B48" s="2">
        <v>37</v>
      </c>
      <c r="C48" s="2" t="s">
        <v>24</v>
      </c>
      <c r="D48" s="2" t="s">
        <v>25</v>
      </c>
      <c r="E48" s="2" t="s">
        <v>23</v>
      </c>
      <c r="F48" s="2" t="s">
        <v>38</v>
      </c>
      <c r="G48" s="2">
        <v>11</v>
      </c>
      <c r="H48" s="2">
        <v>3578</v>
      </c>
      <c r="I48" s="2">
        <f t="shared" si="1"/>
        <v>39358</v>
      </c>
      <c r="J48" s="2" t="s">
        <v>20</v>
      </c>
      <c r="K48" s="2" t="s">
        <v>32</v>
      </c>
      <c r="L48" t="s">
        <v>22</v>
      </c>
      <c r="M48" s="2" t="s">
        <v>18</v>
      </c>
      <c r="N48" s="2" t="s">
        <v>29</v>
      </c>
      <c r="O48" s="3">
        <v>46071</v>
      </c>
    </row>
    <row r="49" spans="1:15" ht="13.8" x14ac:dyDescent="0.25">
      <c r="A49" s="2" t="str">
        <f t="shared" si="0"/>
        <v>C048</v>
      </c>
      <c r="B49" s="2">
        <v>50</v>
      </c>
      <c r="C49" s="2" t="s">
        <v>16</v>
      </c>
      <c r="D49" s="2" t="s">
        <v>30</v>
      </c>
      <c r="E49" s="2" t="s">
        <v>18</v>
      </c>
      <c r="F49" s="2" t="s">
        <v>34</v>
      </c>
      <c r="G49" s="2">
        <v>15</v>
      </c>
      <c r="H49" s="2">
        <v>2678</v>
      </c>
      <c r="I49" s="2">
        <f t="shared" si="1"/>
        <v>40170</v>
      </c>
      <c r="J49" s="2" t="s">
        <v>35</v>
      </c>
      <c r="K49" s="2" t="s">
        <v>32</v>
      </c>
      <c r="L49" s="2" t="s">
        <v>28</v>
      </c>
      <c r="M49" s="2" t="s">
        <v>23</v>
      </c>
      <c r="N49" s="2" t="s">
        <v>18</v>
      </c>
      <c r="O49" s="3">
        <v>46072</v>
      </c>
    </row>
    <row r="50" spans="1:15" ht="13.8" x14ac:dyDescent="0.25">
      <c r="A50" s="2" t="str">
        <f t="shared" si="0"/>
        <v>C049</v>
      </c>
      <c r="B50" s="2">
        <v>20</v>
      </c>
      <c r="C50" s="2" t="s">
        <v>24</v>
      </c>
      <c r="D50" s="2" t="s">
        <v>17</v>
      </c>
      <c r="E50" s="2" t="s">
        <v>23</v>
      </c>
      <c r="F50" s="2" t="s">
        <v>39</v>
      </c>
      <c r="G50" s="2">
        <v>4</v>
      </c>
      <c r="H50" s="2">
        <v>1478</v>
      </c>
      <c r="I50" s="2">
        <f t="shared" si="1"/>
        <v>5912</v>
      </c>
      <c r="J50" s="2" t="s">
        <v>41</v>
      </c>
      <c r="K50" s="2" t="s">
        <v>21</v>
      </c>
      <c r="L50" t="s">
        <v>22</v>
      </c>
      <c r="M50" s="2" t="s">
        <v>18</v>
      </c>
      <c r="N50" s="2" t="s">
        <v>23</v>
      </c>
      <c r="O50" s="3">
        <v>46073</v>
      </c>
    </row>
    <row r="51" spans="1:15" ht="13.8" x14ac:dyDescent="0.25">
      <c r="A51" s="2" t="str">
        <f t="shared" si="0"/>
        <v>C050</v>
      </c>
      <c r="B51" s="2">
        <v>30</v>
      </c>
      <c r="C51" s="2" t="s">
        <v>24</v>
      </c>
      <c r="D51" s="2" t="s">
        <v>36</v>
      </c>
      <c r="E51" s="2" t="s">
        <v>18</v>
      </c>
      <c r="F51" s="2" t="s">
        <v>40</v>
      </c>
      <c r="G51" s="2">
        <v>8</v>
      </c>
      <c r="H51" s="2">
        <v>2567</v>
      </c>
      <c r="I51" s="2">
        <f t="shared" si="1"/>
        <v>20536</v>
      </c>
      <c r="J51" s="2" t="s">
        <v>42</v>
      </c>
      <c r="K51" s="2" t="s">
        <v>32</v>
      </c>
      <c r="L51" s="2" t="s">
        <v>28</v>
      </c>
      <c r="M51" s="2" t="s">
        <v>23</v>
      </c>
      <c r="N51" s="2" t="s">
        <v>18</v>
      </c>
      <c r="O51" s="3">
        <v>46074</v>
      </c>
    </row>
    <row r="52" spans="1:15" ht="13.8" x14ac:dyDescent="0.25">
      <c r="A52" s="2" t="str">
        <f t="shared" si="0"/>
        <v>C051</v>
      </c>
      <c r="B52" s="2">
        <v>40</v>
      </c>
      <c r="C52" s="2" t="s">
        <v>16</v>
      </c>
      <c r="D52" s="2" t="s">
        <v>33</v>
      </c>
      <c r="E52" s="2" t="s">
        <v>23</v>
      </c>
      <c r="F52" s="2" t="s">
        <v>38</v>
      </c>
      <c r="G52" s="2">
        <v>9</v>
      </c>
      <c r="H52" s="2">
        <v>4789</v>
      </c>
      <c r="I52" s="2">
        <f t="shared" si="1"/>
        <v>43101</v>
      </c>
      <c r="J52" s="2" t="s">
        <v>27</v>
      </c>
      <c r="K52" s="2" t="s">
        <v>21</v>
      </c>
      <c r="L52" t="s">
        <v>22</v>
      </c>
      <c r="M52" s="2" t="s">
        <v>18</v>
      </c>
      <c r="N52" s="2" t="s">
        <v>29</v>
      </c>
      <c r="O52" s="3">
        <v>46075</v>
      </c>
    </row>
    <row r="53" spans="1:15" ht="13.8" x14ac:dyDescent="0.25">
      <c r="A53" s="2" t="str">
        <f t="shared" si="0"/>
        <v>C052</v>
      </c>
      <c r="B53" s="2">
        <v>25</v>
      </c>
      <c r="C53" s="2" t="s">
        <v>16</v>
      </c>
      <c r="D53" s="2" t="s">
        <v>36</v>
      </c>
      <c r="E53" s="2" t="s">
        <v>18</v>
      </c>
      <c r="F53" s="2" t="s">
        <v>37</v>
      </c>
      <c r="G53" s="2">
        <v>4</v>
      </c>
      <c r="H53" s="2">
        <v>3965</v>
      </c>
      <c r="I53" s="2">
        <f t="shared" si="1"/>
        <v>15860</v>
      </c>
      <c r="J53" s="2" t="s">
        <v>35</v>
      </c>
      <c r="K53" s="2" t="s">
        <v>32</v>
      </c>
      <c r="L53" s="2" t="s">
        <v>28</v>
      </c>
      <c r="M53" s="2" t="s">
        <v>23</v>
      </c>
      <c r="N53" s="2" t="s">
        <v>23</v>
      </c>
      <c r="O53" s="3">
        <v>46076</v>
      </c>
    </row>
    <row r="54" spans="1:15" ht="13.8" x14ac:dyDescent="0.25">
      <c r="A54" s="2" t="str">
        <f t="shared" si="0"/>
        <v>C053</v>
      </c>
      <c r="B54" s="2">
        <v>45</v>
      </c>
      <c r="C54" s="2" t="s">
        <v>24</v>
      </c>
      <c r="D54" s="2" t="s">
        <v>17</v>
      </c>
      <c r="E54" s="2" t="s">
        <v>23</v>
      </c>
      <c r="F54" s="2" t="s">
        <v>31</v>
      </c>
      <c r="G54" s="2">
        <v>16</v>
      </c>
      <c r="H54" s="2">
        <v>3645</v>
      </c>
      <c r="I54" s="2">
        <f t="shared" si="1"/>
        <v>58320</v>
      </c>
      <c r="J54" s="2" t="s">
        <v>41</v>
      </c>
      <c r="K54" s="2" t="s">
        <v>21</v>
      </c>
      <c r="L54" t="s">
        <v>22</v>
      </c>
      <c r="M54" s="2" t="s">
        <v>18</v>
      </c>
      <c r="N54" s="2" t="s">
        <v>23</v>
      </c>
      <c r="O54" s="3">
        <v>46077</v>
      </c>
    </row>
    <row r="55" spans="1:15" ht="13.8" x14ac:dyDescent="0.25">
      <c r="A55" s="2" t="str">
        <f t="shared" si="0"/>
        <v>C054</v>
      </c>
      <c r="B55" s="2">
        <v>50</v>
      </c>
      <c r="C55" s="2" t="s">
        <v>24</v>
      </c>
      <c r="D55" s="2" t="s">
        <v>33</v>
      </c>
      <c r="E55" s="2" t="s">
        <v>18</v>
      </c>
      <c r="F55" s="2" t="s">
        <v>31</v>
      </c>
      <c r="G55" s="2">
        <v>13</v>
      </c>
      <c r="H55" s="2">
        <v>2790</v>
      </c>
      <c r="I55" s="2">
        <f t="shared" si="1"/>
        <v>36270</v>
      </c>
      <c r="J55" s="2" t="s">
        <v>20</v>
      </c>
      <c r="K55" s="2" t="s">
        <v>21</v>
      </c>
      <c r="L55" s="2" t="s">
        <v>28</v>
      </c>
      <c r="M55" s="2" t="s">
        <v>23</v>
      </c>
      <c r="N55" s="2" t="s">
        <v>18</v>
      </c>
      <c r="O55" s="3">
        <v>46078</v>
      </c>
    </row>
    <row r="56" spans="1:15" ht="13.8" x14ac:dyDescent="0.25">
      <c r="A56" s="2" t="str">
        <f t="shared" si="0"/>
        <v>C055</v>
      </c>
      <c r="B56" s="2">
        <v>20</v>
      </c>
      <c r="C56" s="2" t="s">
        <v>16</v>
      </c>
      <c r="D56" s="2" t="s">
        <v>25</v>
      </c>
      <c r="E56" s="2" t="s">
        <v>23</v>
      </c>
      <c r="F56" s="2" t="s">
        <v>38</v>
      </c>
      <c r="G56" s="2">
        <v>17</v>
      </c>
      <c r="H56" s="2">
        <v>5437</v>
      </c>
      <c r="I56" s="2">
        <f t="shared" si="1"/>
        <v>92429</v>
      </c>
      <c r="J56" s="2" t="s">
        <v>42</v>
      </c>
      <c r="K56" s="2" t="s">
        <v>21</v>
      </c>
      <c r="L56" t="s">
        <v>22</v>
      </c>
      <c r="M56" s="2" t="s">
        <v>18</v>
      </c>
      <c r="N56" s="2" t="s">
        <v>29</v>
      </c>
      <c r="O56" s="3">
        <v>46079</v>
      </c>
    </row>
    <row r="57" spans="1:15" ht="13.8" x14ac:dyDescent="0.25">
      <c r="A57" s="2" t="str">
        <f t="shared" si="0"/>
        <v>C056</v>
      </c>
      <c r="B57" s="2">
        <v>31</v>
      </c>
      <c r="C57" s="2" t="s">
        <v>24</v>
      </c>
      <c r="D57" s="2" t="s">
        <v>30</v>
      </c>
      <c r="E57" s="2" t="s">
        <v>18</v>
      </c>
      <c r="F57" s="2" t="s">
        <v>19</v>
      </c>
      <c r="G57" s="2">
        <v>18</v>
      </c>
      <c r="H57" s="2">
        <v>3467</v>
      </c>
      <c r="I57" s="2">
        <f t="shared" si="1"/>
        <v>62406</v>
      </c>
      <c r="J57" s="2" t="s">
        <v>27</v>
      </c>
      <c r="K57" s="2" t="s">
        <v>32</v>
      </c>
      <c r="L57" s="2" t="s">
        <v>28</v>
      </c>
      <c r="M57" s="2" t="s">
        <v>23</v>
      </c>
      <c r="N57" s="2" t="s">
        <v>18</v>
      </c>
      <c r="O57" s="3">
        <v>46080</v>
      </c>
    </row>
    <row r="58" spans="1:15" ht="13.8" x14ac:dyDescent="0.25">
      <c r="A58" s="2" t="str">
        <f t="shared" si="0"/>
        <v>C057</v>
      </c>
      <c r="B58" s="2">
        <v>41</v>
      </c>
      <c r="C58" s="2" t="s">
        <v>16</v>
      </c>
      <c r="D58" s="2" t="s">
        <v>17</v>
      </c>
      <c r="E58" s="2" t="s">
        <v>23</v>
      </c>
      <c r="F58" s="2" t="s">
        <v>34</v>
      </c>
      <c r="G58" s="2">
        <v>16</v>
      </c>
      <c r="H58" s="2">
        <v>2456</v>
      </c>
      <c r="I58" s="2">
        <f t="shared" si="1"/>
        <v>39296</v>
      </c>
      <c r="J58" s="2" t="s">
        <v>41</v>
      </c>
      <c r="K58" s="2" t="s">
        <v>21</v>
      </c>
      <c r="L58" t="s">
        <v>28</v>
      </c>
      <c r="M58" s="2" t="s">
        <v>18</v>
      </c>
      <c r="N58" s="2" t="s">
        <v>23</v>
      </c>
      <c r="O58" s="3">
        <v>46081</v>
      </c>
    </row>
    <row r="59" spans="1:15" ht="13.8" x14ac:dyDescent="0.25">
      <c r="A59" s="2" t="str">
        <f t="shared" si="0"/>
        <v>C058</v>
      </c>
      <c r="B59" s="2">
        <v>31</v>
      </c>
      <c r="C59" s="2" t="s">
        <v>24</v>
      </c>
      <c r="D59" s="2" t="s">
        <v>33</v>
      </c>
      <c r="E59" s="2" t="s">
        <v>18</v>
      </c>
      <c r="F59" s="2" t="s">
        <v>39</v>
      </c>
      <c r="G59" s="2">
        <v>7</v>
      </c>
      <c r="H59" s="2">
        <v>1479</v>
      </c>
      <c r="I59" s="2">
        <f t="shared" si="1"/>
        <v>10353</v>
      </c>
      <c r="J59" s="2" t="s">
        <v>35</v>
      </c>
      <c r="K59" s="2" t="s">
        <v>32</v>
      </c>
      <c r="L59" s="2" t="s">
        <v>22</v>
      </c>
      <c r="M59" s="2" t="s">
        <v>23</v>
      </c>
      <c r="N59" s="2" t="s">
        <v>29</v>
      </c>
      <c r="O59" s="3">
        <v>46082</v>
      </c>
    </row>
    <row r="60" spans="1:15" ht="13.8" x14ac:dyDescent="0.25">
      <c r="A60" s="2" t="str">
        <f t="shared" si="0"/>
        <v>C059</v>
      </c>
      <c r="B60" s="2">
        <v>36</v>
      </c>
      <c r="C60" s="2" t="s">
        <v>16</v>
      </c>
      <c r="D60" s="2" t="s">
        <v>25</v>
      </c>
      <c r="E60" s="2" t="s">
        <v>23</v>
      </c>
      <c r="F60" s="2" t="s">
        <v>40</v>
      </c>
      <c r="G60" s="2">
        <v>8</v>
      </c>
      <c r="H60" s="2">
        <v>3210</v>
      </c>
      <c r="I60" s="2">
        <f t="shared" si="1"/>
        <v>25680</v>
      </c>
      <c r="J60" s="2" t="s">
        <v>20</v>
      </c>
      <c r="K60" s="2" t="s">
        <v>21</v>
      </c>
      <c r="L60" t="s">
        <v>28</v>
      </c>
      <c r="M60" s="2" t="s">
        <v>18</v>
      </c>
      <c r="N60" s="2" t="s">
        <v>18</v>
      </c>
      <c r="O60" s="3">
        <v>46083</v>
      </c>
    </row>
    <row r="61" spans="1:15" ht="13.8" x14ac:dyDescent="0.25">
      <c r="A61" s="2" t="str">
        <f t="shared" si="0"/>
        <v>C060</v>
      </c>
      <c r="B61" s="2">
        <v>47</v>
      </c>
      <c r="C61" s="2" t="s">
        <v>24</v>
      </c>
      <c r="D61" s="2" t="s">
        <v>36</v>
      </c>
      <c r="E61" s="2" t="s">
        <v>18</v>
      </c>
      <c r="F61" s="2" t="s">
        <v>31</v>
      </c>
      <c r="G61" s="2">
        <v>14</v>
      </c>
      <c r="H61" s="2">
        <v>2970</v>
      </c>
      <c r="I61" s="2">
        <f t="shared" si="1"/>
        <v>41580</v>
      </c>
      <c r="J61" s="2" t="s">
        <v>42</v>
      </c>
      <c r="K61" s="2" t="s">
        <v>32</v>
      </c>
      <c r="L61" s="2" t="s">
        <v>28</v>
      </c>
      <c r="M61" s="2" t="s">
        <v>23</v>
      </c>
      <c r="N61" s="2" t="s">
        <v>23</v>
      </c>
      <c r="O61" s="3">
        <v>46084</v>
      </c>
    </row>
    <row r="62" spans="1:15" ht="13.8" x14ac:dyDescent="0.25">
      <c r="A62" s="2" t="str">
        <f t="shared" si="0"/>
        <v>C061</v>
      </c>
      <c r="B62" s="2">
        <v>48</v>
      </c>
      <c r="C62" s="2" t="s">
        <v>16</v>
      </c>
      <c r="D62" s="2" t="s">
        <v>30</v>
      </c>
      <c r="E62" s="2" t="s">
        <v>18</v>
      </c>
      <c r="F62" s="2" t="s">
        <v>37</v>
      </c>
      <c r="G62" s="2">
        <v>20</v>
      </c>
      <c r="H62" s="2">
        <v>3256</v>
      </c>
      <c r="I62" s="2">
        <f>G62*H62</f>
        <v>65120</v>
      </c>
      <c r="J62" s="2" t="s">
        <v>27</v>
      </c>
      <c r="K62" s="2" t="s">
        <v>21</v>
      </c>
      <c r="L62" t="s">
        <v>28</v>
      </c>
      <c r="M62" s="2" t="s">
        <v>18</v>
      </c>
      <c r="N62" s="2" t="s">
        <v>29</v>
      </c>
      <c r="O62" s="3">
        <v>46085</v>
      </c>
    </row>
    <row r="63" spans="1:15" ht="13.8" x14ac:dyDescent="0.25">
      <c r="A63" s="2" t="str">
        <f t="shared" si="0"/>
        <v>C062</v>
      </c>
      <c r="B63" s="2">
        <v>50</v>
      </c>
      <c r="C63" s="2" t="s">
        <v>24</v>
      </c>
      <c r="D63" s="2" t="s">
        <v>17</v>
      </c>
      <c r="E63" s="2" t="s">
        <v>23</v>
      </c>
      <c r="F63" s="2" t="s">
        <v>38</v>
      </c>
      <c r="G63" s="2">
        <v>11</v>
      </c>
      <c r="H63" s="2">
        <v>4689</v>
      </c>
      <c r="I63" s="2">
        <f t="shared" si="1"/>
        <v>51579</v>
      </c>
      <c r="J63" s="2" t="s">
        <v>27</v>
      </c>
      <c r="K63" s="2" t="s">
        <v>32</v>
      </c>
      <c r="L63" s="2" t="s">
        <v>22</v>
      </c>
      <c r="M63" s="2" t="s">
        <v>23</v>
      </c>
      <c r="N63" s="2" t="s">
        <v>18</v>
      </c>
      <c r="O63" s="3">
        <v>46086</v>
      </c>
    </row>
    <row r="64" spans="1:15" ht="13.8" x14ac:dyDescent="0.25">
      <c r="A64" s="2" t="str">
        <f t="shared" si="0"/>
        <v>C063</v>
      </c>
      <c r="B64" s="2">
        <v>26</v>
      </c>
      <c r="C64" s="2" t="s">
        <v>16</v>
      </c>
      <c r="D64" s="2" t="s">
        <v>36</v>
      </c>
      <c r="E64" s="2" t="s">
        <v>18</v>
      </c>
      <c r="F64" s="2" t="s">
        <v>19</v>
      </c>
      <c r="G64" s="2">
        <v>9</v>
      </c>
      <c r="H64" s="2">
        <v>3568</v>
      </c>
      <c r="I64" s="2">
        <f t="shared" si="1"/>
        <v>32112</v>
      </c>
      <c r="J64" s="2" t="s">
        <v>42</v>
      </c>
      <c r="K64" s="2" t="s">
        <v>21</v>
      </c>
      <c r="L64" t="s">
        <v>22</v>
      </c>
      <c r="M64" s="2" t="s">
        <v>18</v>
      </c>
      <c r="N64" s="2" t="s">
        <v>23</v>
      </c>
      <c r="O64" s="3">
        <v>46087</v>
      </c>
    </row>
    <row r="65" spans="1:15" ht="13.8" x14ac:dyDescent="0.25">
      <c r="A65" s="2" t="str">
        <f t="shared" si="0"/>
        <v>C064</v>
      </c>
      <c r="B65" s="2">
        <v>28</v>
      </c>
      <c r="C65" s="2" t="s">
        <v>24</v>
      </c>
      <c r="D65" s="2" t="s">
        <v>30</v>
      </c>
      <c r="E65" s="2" t="s">
        <v>23</v>
      </c>
      <c r="F65" s="2" t="s">
        <v>39</v>
      </c>
      <c r="G65" s="2">
        <v>16</v>
      </c>
      <c r="H65" s="2">
        <v>2589</v>
      </c>
      <c r="I65" s="2">
        <f t="shared" si="1"/>
        <v>41424</v>
      </c>
      <c r="J65" s="2" t="s">
        <v>20</v>
      </c>
      <c r="K65" s="2" t="s">
        <v>32</v>
      </c>
      <c r="L65" s="2" t="s">
        <v>28</v>
      </c>
      <c r="M65" s="2" t="s">
        <v>23</v>
      </c>
      <c r="N65" s="2" t="s">
        <v>29</v>
      </c>
      <c r="O65" s="3">
        <v>46088</v>
      </c>
    </row>
    <row r="66" spans="1:15" ht="13.8" x14ac:dyDescent="0.25">
      <c r="A66" s="2" t="str">
        <f t="shared" si="0"/>
        <v>C065</v>
      </c>
      <c r="B66" s="2">
        <v>39</v>
      </c>
      <c r="C66" s="2" t="s">
        <v>16</v>
      </c>
      <c r="D66" s="2" t="s">
        <v>25</v>
      </c>
      <c r="E66" s="2" t="s">
        <v>18</v>
      </c>
      <c r="F66" s="2" t="s">
        <v>40</v>
      </c>
      <c r="G66" s="2">
        <v>17</v>
      </c>
      <c r="H66" s="2">
        <v>300</v>
      </c>
      <c r="I66" s="2">
        <f t="shared" si="1"/>
        <v>5100</v>
      </c>
      <c r="J66" s="2" t="s">
        <v>35</v>
      </c>
      <c r="K66" s="2" t="s">
        <v>21</v>
      </c>
      <c r="L66" t="s">
        <v>22</v>
      </c>
      <c r="M66" s="2" t="s">
        <v>18</v>
      </c>
      <c r="N66" s="2" t="s">
        <v>23</v>
      </c>
      <c r="O66" s="3">
        <v>46089</v>
      </c>
    </row>
    <row r="67" spans="1:15" ht="13.8" x14ac:dyDescent="0.25">
      <c r="A67" s="2" t="str">
        <f t="shared" ref="A67:A101" si="2">"C"&amp;TEXT(ROW()-1,"000")</f>
        <v>C066</v>
      </c>
      <c r="B67" s="2">
        <v>37</v>
      </c>
      <c r="C67" s="2" t="s">
        <v>16</v>
      </c>
      <c r="D67" s="2" t="s">
        <v>33</v>
      </c>
      <c r="E67" s="2" t="s">
        <v>23</v>
      </c>
      <c r="F67" s="2" t="s">
        <v>31</v>
      </c>
      <c r="G67" s="2">
        <v>17</v>
      </c>
      <c r="H67" s="2">
        <v>555</v>
      </c>
      <c r="I67" s="2">
        <f t="shared" ref="I67:I83" si="3">G67*H67</f>
        <v>9435</v>
      </c>
      <c r="J67" s="2" t="s">
        <v>20</v>
      </c>
      <c r="K67" s="2" t="s">
        <v>32</v>
      </c>
      <c r="L67" s="2" t="s">
        <v>28</v>
      </c>
      <c r="M67" s="2" t="s">
        <v>23</v>
      </c>
      <c r="N67" s="2" t="s">
        <v>29</v>
      </c>
      <c r="O67" s="3">
        <v>46090</v>
      </c>
    </row>
    <row r="68" spans="1:15" ht="13.8" x14ac:dyDescent="0.25">
      <c r="A68" s="2" t="str">
        <f t="shared" si="2"/>
        <v>C067</v>
      </c>
      <c r="B68" s="2">
        <v>39</v>
      </c>
      <c r="C68" s="2" t="s">
        <v>24</v>
      </c>
      <c r="D68" s="2" t="s">
        <v>30</v>
      </c>
      <c r="E68" s="2" t="s">
        <v>18</v>
      </c>
      <c r="F68" s="2" t="s">
        <v>26</v>
      </c>
      <c r="G68" s="2">
        <v>12</v>
      </c>
      <c r="H68" s="2">
        <v>667</v>
      </c>
      <c r="I68" s="2">
        <f t="shared" si="3"/>
        <v>8004</v>
      </c>
      <c r="J68" s="2" t="s">
        <v>35</v>
      </c>
      <c r="K68" s="2" t="s">
        <v>32</v>
      </c>
      <c r="L68" t="s">
        <v>22</v>
      </c>
      <c r="M68" s="2" t="s">
        <v>18</v>
      </c>
      <c r="N68" s="2" t="s">
        <v>18</v>
      </c>
      <c r="O68" s="3">
        <v>46091</v>
      </c>
    </row>
    <row r="69" spans="1:15" ht="13.8" x14ac:dyDescent="0.25">
      <c r="A69" s="2" t="str">
        <f t="shared" si="2"/>
        <v>C068</v>
      </c>
      <c r="B69" s="2">
        <v>49</v>
      </c>
      <c r="C69" s="2" t="s">
        <v>16</v>
      </c>
      <c r="D69" s="2" t="s">
        <v>33</v>
      </c>
      <c r="E69" s="2" t="s">
        <v>23</v>
      </c>
      <c r="F69" s="2" t="s">
        <v>31</v>
      </c>
      <c r="G69" s="2">
        <v>14</v>
      </c>
      <c r="H69" s="2">
        <v>3568</v>
      </c>
      <c r="I69" s="2">
        <f t="shared" si="3"/>
        <v>49952</v>
      </c>
      <c r="J69" s="2" t="s">
        <v>42</v>
      </c>
      <c r="K69" s="2" t="s">
        <v>21</v>
      </c>
      <c r="L69" s="2" t="s">
        <v>28</v>
      </c>
      <c r="M69" s="2" t="s">
        <v>23</v>
      </c>
      <c r="N69" s="2" t="s">
        <v>23</v>
      </c>
      <c r="O69" s="3">
        <v>46092</v>
      </c>
    </row>
    <row r="70" spans="1:15" ht="13.8" x14ac:dyDescent="0.25">
      <c r="A70" s="2" t="str">
        <f t="shared" si="2"/>
        <v>C069</v>
      </c>
      <c r="B70" s="2">
        <v>47</v>
      </c>
      <c r="C70" s="2" t="s">
        <v>24</v>
      </c>
      <c r="D70" s="2" t="s">
        <v>25</v>
      </c>
      <c r="E70" s="2" t="s">
        <v>18</v>
      </c>
      <c r="F70" s="2" t="s">
        <v>34</v>
      </c>
      <c r="G70" s="2">
        <v>16</v>
      </c>
      <c r="H70" s="2">
        <v>2789</v>
      </c>
      <c r="I70" s="2">
        <f t="shared" si="3"/>
        <v>44624</v>
      </c>
      <c r="J70" s="2" t="s">
        <v>41</v>
      </c>
      <c r="K70" s="2" t="s">
        <v>21</v>
      </c>
      <c r="L70" t="s">
        <v>22</v>
      </c>
      <c r="M70" s="2" t="s">
        <v>18</v>
      </c>
      <c r="N70" s="2" t="s">
        <v>18</v>
      </c>
      <c r="O70" s="3">
        <v>46093</v>
      </c>
    </row>
    <row r="71" spans="1:15" ht="13.8" x14ac:dyDescent="0.25">
      <c r="A71" s="2" t="str">
        <f t="shared" si="2"/>
        <v>C070</v>
      </c>
      <c r="B71" s="2">
        <v>46</v>
      </c>
      <c r="C71" s="2" t="s">
        <v>16</v>
      </c>
      <c r="D71" s="2" t="s">
        <v>36</v>
      </c>
      <c r="E71" s="2" t="s">
        <v>18</v>
      </c>
      <c r="F71" s="2" t="s">
        <v>40</v>
      </c>
      <c r="G71" s="2">
        <v>6</v>
      </c>
      <c r="H71" s="2">
        <v>2457</v>
      </c>
      <c r="I71" s="2">
        <f t="shared" si="3"/>
        <v>14742</v>
      </c>
      <c r="J71" s="2" t="s">
        <v>20</v>
      </c>
      <c r="K71" s="2" t="s">
        <v>32</v>
      </c>
      <c r="L71" s="2" t="s">
        <v>28</v>
      </c>
      <c r="M71" s="2" t="s">
        <v>23</v>
      </c>
      <c r="N71" s="2" t="s">
        <v>23</v>
      </c>
      <c r="O71" s="3">
        <v>46094</v>
      </c>
    </row>
    <row r="72" spans="1:15" ht="13.8" x14ac:dyDescent="0.25">
      <c r="A72" s="2" t="str">
        <f t="shared" si="2"/>
        <v>C071</v>
      </c>
      <c r="B72" s="2">
        <v>42</v>
      </c>
      <c r="C72" s="2" t="s">
        <v>24</v>
      </c>
      <c r="D72" s="2" t="s">
        <v>17</v>
      </c>
      <c r="E72" s="2" t="s">
        <v>23</v>
      </c>
      <c r="F72" s="2" t="s">
        <v>39</v>
      </c>
      <c r="G72" s="2">
        <v>7</v>
      </c>
      <c r="H72" s="2">
        <v>3456</v>
      </c>
      <c r="I72" s="2">
        <f t="shared" si="3"/>
        <v>24192</v>
      </c>
      <c r="J72" s="2" t="s">
        <v>27</v>
      </c>
      <c r="K72" s="2" t="s">
        <v>32</v>
      </c>
      <c r="L72" t="s">
        <v>22</v>
      </c>
      <c r="M72" s="2" t="s">
        <v>18</v>
      </c>
      <c r="N72" s="2" t="s">
        <v>29</v>
      </c>
      <c r="O72" s="3">
        <v>46095</v>
      </c>
    </row>
    <row r="73" spans="1:15" ht="13.8" x14ac:dyDescent="0.25">
      <c r="A73" s="2" t="str">
        <f t="shared" si="2"/>
        <v>C072</v>
      </c>
      <c r="B73" s="2">
        <v>43</v>
      </c>
      <c r="C73" s="2" t="s">
        <v>16</v>
      </c>
      <c r="D73" s="2" t="s">
        <v>25</v>
      </c>
      <c r="E73" s="2" t="s">
        <v>18</v>
      </c>
      <c r="F73" s="2" t="s">
        <v>26</v>
      </c>
      <c r="G73" s="2">
        <v>9</v>
      </c>
      <c r="H73" s="2">
        <v>3777</v>
      </c>
      <c r="I73" s="2">
        <f t="shared" si="3"/>
        <v>33993</v>
      </c>
      <c r="J73" s="2" t="s">
        <v>35</v>
      </c>
      <c r="K73" s="2" t="s">
        <v>32</v>
      </c>
      <c r="L73" s="2" t="s">
        <v>28</v>
      </c>
      <c r="M73" s="2" t="s">
        <v>23</v>
      </c>
      <c r="N73" s="2" t="s">
        <v>18</v>
      </c>
      <c r="O73" s="3">
        <v>46096</v>
      </c>
    </row>
    <row r="74" spans="1:15" ht="13.8" x14ac:dyDescent="0.25">
      <c r="A74" s="2" t="str">
        <f t="shared" si="2"/>
        <v>C073</v>
      </c>
      <c r="B74" s="2">
        <v>29</v>
      </c>
      <c r="C74" s="2" t="s">
        <v>24</v>
      </c>
      <c r="D74" s="2" t="s">
        <v>33</v>
      </c>
      <c r="E74" s="2" t="s">
        <v>23</v>
      </c>
      <c r="F74" s="2" t="s">
        <v>19</v>
      </c>
      <c r="G74" s="2">
        <v>3</v>
      </c>
      <c r="H74" s="2">
        <v>4666</v>
      </c>
      <c r="I74" s="2">
        <f t="shared" si="3"/>
        <v>13998</v>
      </c>
      <c r="J74" s="2" t="s">
        <v>41</v>
      </c>
      <c r="K74" s="2" t="s">
        <v>21</v>
      </c>
      <c r="L74" t="s">
        <v>22</v>
      </c>
      <c r="M74" s="2" t="s">
        <v>18</v>
      </c>
      <c r="N74" s="2" t="s">
        <v>23</v>
      </c>
      <c r="O74" s="3">
        <v>46097</v>
      </c>
    </row>
    <row r="75" spans="1:15" ht="13.8" x14ac:dyDescent="0.25">
      <c r="A75" s="2" t="str">
        <f t="shared" si="2"/>
        <v>C074</v>
      </c>
      <c r="B75" s="2">
        <v>49</v>
      </c>
      <c r="C75" s="2" t="s">
        <v>16</v>
      </c>
      <c r="D75" s="2" t="s">
        <v>17</v>
      </c>
      <c r="E75" s="2" t="s">
        <v>18</v>
      </c>
      <c r="F75" s="2" t="s">
        <v>31</v>
      </c>
      <c r="G75" s="2">
        <v>2</v>
      </c>
      <c r="H75" s="2">
        <v>3215</v>
      </c>
      <c r="I75" s="2">
        <f t="shared" si="3"/>
        <v>6430</v>
      </c>
      <c r="J75" s="2" t="s">
        <v>42</v>
      </c>
      <c r="K75" s="2" t="s">
        <v>32</v>
      </c>
      <c r="L75" s="2" t="s">
        <v>28</v>
      </c>
      <c r="M75" s="2" t="s">
        <v>23</v>
      </c>
      <c r="N75" s="2" t="s">
        <v>18</v>
      </c>
      <c r="O75" s="3">
        <v>46098</v>
      </c>
    </row>
    <row r="76" spans="1:15" ht="13.8" x14ac:dyDescent="0.25">
      <c r="A76" s="2" t="str">
        <f t="shared" si="2"/>
        <v>C075</v>
      </c>
      <c r="B76" s="2">
        <v>47</v>
      </c>
      <c r="C76" s="2" t="s">
        <v>24</v>
      </c>
      <c r="D76" s="2" t="s">
        <v>36</v>
      </c>
      <c r="E76" s="2" t="s">
        <v>18</v>
      </c>
      <c r="F76" s="2" t="s">
        <v>26</v>
      </c>
      <c r="G76" s="2">
        <v>15</v>
      </c>
      <c r="H76" s="2">
        <v>4678</v>
      </c>
      <c r="I76" s="2">
        <f t="shared" si="3"/>
        <v>70170</v>
      </c>
      <c r="J76" s="2" t="s">
        <v>27</v>
      </c>
      <c r="K76" s="2" t="s">
        <v>21</v>
      </c>
      <c r="L76" t="s">
        <v>22</v>
      </c>
      <c r="M76" s="2" t="s">
        <v>18</v>
      </c>
      <c r="N76" s="2" t="s">
        <v>23</v>
      </c>
      <c r="O76" s="3">
        <v>46099</v>
      </c>
    </row>
    <row r="77" spans="1:15" ht="13.8" x14ac:dyDescent="0.25">
      <c r="A77" s="2" t="str">
        <f t="shared" si="2"/>
        <v>C076</v>
      </c>
      <c r="B77" s="2">
        <v>28</v>
      </c>
      <c r="C77" s="2" t="s">
        <v>16</v>
      </c>
      <c r="D77" s="2" t="s">
        <v>33</v>
      </c>
      <c r="E77" s="2" t="s">
        <v>23</v>
      </c>
      <c r="F77" s="2" t="s">
        <v>34</v>
      </c>
      <c r="G77" s="2">
        <v>18</v>
      </c>
      <c r="H77" s="2">
        <v>3478</v>
      </c>
      <c r="I77" s="2">
        <f t="shared" si="3"/>
        <v>62604</v>
      </c>
      <c r="J77" s="2" t="s">
        <v>42</v>
      </c>
      <c r="K77" s="2" t="s">
        <v>32</v>
      </c>
      <c r="L77" s="2" t="s">
        <v>28</v>
      </c>
      <c r="M77" s="2" t="s">
        <v>23</v>
      </c>
      <c r="N77" s="2" t="s">
        <v>29</v>
      </c>
      <c r="O77" s="3">
        <v>46100</v>
      </c>
    </row>
    <row r="78" spans="1:15" ht="13.8" x14ac:dyDescent="0.25">
      <c r="A78" s="2" t="str">
        <f t="shared" si="2"/>
        <v>C077</v>
      </c>
      <c r="B78" s="2">
        <v>49</v>
      </c>
      <c r="C78" s="2" t="s">
        <v>24</v>
      </c>
      <c r="D78" s="2" t="s">
        <v>30</v>
      </c>
      <c r="E78" s="2" t="s">
        <v>23</v>
      </c>
      <c r="F78" s="2" t="s">
        <v>31</v>
      </c>
      <c r="G78" s="2">
        <v>17</v>
      </c>
      <c r="H78" s="2">
        <v>3790</v>
      </c>
      <c r="I78" s="2">
        <f t="shared" si="3"/>
        <v>64430</v>
      </c>
      <c r="J78" s="2" t="s">
        <v>35</v>
      </c>
      <c r="K78" s="2" t="s">
        <v>21</v>
      </c>
      <c r="L78" t="s">
        <v>22</v>
      </c>
      <c r="M78" s="2" t="s">
        <v>23</v>
      </c>
      <c r="N78" s="2" t="s">
        <v>23</v>
      </c>
      <c r="O78" s="3">
        <v>46101</v>
      </c>
    </row>
    <row r="79" spans="1:15" ht="13.8" x14ac:dyDescent="0.25">
      <c r="A79" s="2" t="str">
        <f t="shared" si="2"/>
        <v>C078</v>
      </c>
      <c r="B79" s="2">
        <v>41</v>
      </c>
      <c r="C79" s="2" t="s">
        <v>16</v>
      </c>
      <c r="D79" s="2" t="s">
        <v>36</v>
      </c>
      <c r="E79" s="2" t="s">
        <v>18</v>
      </c>
      <c r="F79" s="2" t="s">
        <v>38</v>
      </c>
      <c r="G79" s="2">
        <v>19</v>
      </c>
      <c r="H79" s="2">
        <v>4569</v>
      </c>
      <c r="I79" s="2">
        <f t="shared" si="3"/>
        <v>86811</v>
      </c>
      <c r="J79" s="2" t="s">
        <v>41</v>
      </c>
      <c r="K79" s="2" t="s">
        <v>32</v>
      </c>
      <c r="L79" s="2" t="s">
        <v>28</v>
      </c>
      <c r="M79" s="2" t="s">
        <v>18</v>
      </c>
      <c r="N79" s="2" t="s">
        <v>18</v>
      </c>
      <c r="O79" s="3">
        <v>46102</v>
      </c>
    </row>
    <row r="80" spans="1:15" ht="13.8" x14ac:dyDescent="0.25">
      <c r="A80" s="2" t="str">
        <f t="shared" si="2"/>
        <v>C079</v>
      </c>
      <c r="B80" s="2">
        <v>40</v>
      </c>
      <c r="C80" s="2" t="s">
        <v>24</v>
      </c>
      <c r="D80" s="2" t="s">
        <v>17</v>
      </c>
      <c r="E80" s="2" t="s">
        <v>23</v>
      </c>
      <c r="F80" s="2" t="s">
        <v>37</v>
      </c>
      <c r="G80" s="2">
        <v>5</v>
      </c>
      <c r="H80" s="2">
        <v>2356</v>
      </c>
      <c r="I80" s="2">
        <f t="shared" si="3"/>
        <v>11780</v>
      </c>
      <c r="J80" s="2" t="s">
        <v>20</v>
      </c>
      <c r="K80" s="2" t="s">
        <v>21</v>
      </c>
      <c r="L80" t="s">
        <v>22</v>
      </c>
      <c r="M80" s="2" t="s">
        <v>23</v>
      </c>
      <c r="N80" s="2" t="s">
        <v>29</v>
      </c>
      <c r="O80" s="3">
        <v>46103</v>
      </c>
    </row>
    <row r="81" spans="1:15" ht="13.8" x14ac:dyDescent="0.25">
      <c r="A81" s="2" t="str">
        <f t="shared" si="2"/>
        <v>C080</v>
      </c>
      <c r="B81" s="2">
        <v>44</v>
      </c>
      <c r="C81" s="2" t="s">
        <v>16</v>
      </c>
      <c r="D81" s="2" t="s">
        <v>17</v>
      </c>
      <c r="E81" s="2" t="s">
        <v>18</v>
      </c>
      <c r="F81" s="2" t="s">
        <v>19</v>
      </c>
      <c r="G81" s="2">
        <v>7</v>
      </c>
      <c r="H81" s="2">
        <v>1256</v>
      </c>
      <c r="I81" s="2">
        <f t="shared" si="3"/>
        <v>8792</v>
      </c>
      <c r="J81" s="2" t="s">
        <v>35</v>
      </c>
      <c r="K81" s="2" t="s">
        <v>32</v>
      </c>
      <c r="L81" s="2" t="s">
        <v>28</v>
      </c>
      <c r="M81" s="2" t="s">
        <v>18</v>
      </c>
      <c r="N81" s="2" t="s">
        <v>23</v>
      </c>
      <c r="O81" s="3">
        <v>46104</v>
      </c>
    </row>
    <row r="82" spans="1:15" ht="13.8" x14ac:dyDescent="0.25">
      <c r="A82" s="2" t="str">
        <f t="shared" si="2"/>
        <v>C081</v>
      </c>
      <c r="B82" s="2">
        <v>33</v>
      </c>
      <c r="C82" s="2" t="s">
        <v>16</v>
      </c>
      <c r="D82" s="2" t="s">
        <v>33</v>
      </c>
      <c r="E82" s="2" t="s">
        <v>18</v>
      </c>
      <c r="F82" s="2" t="s">
        <v>40</v>
      </c>
      <c r="G82" s="2">
        <v>9</v>
      </c>
      <c r="H82" s="2">
        <v>2638</v>
      </c>
      <c r="I82" s="2">
        <f t="shared" si="3"/>
        <v>23742</v>
      </c>
      <c r="J82" s="2" t="s">
        <v>42</v>
      </c>
      <c r="K82" s="2" t="s">
        <v>21</v>
      </c>
      <c r="L82" t="s">
        <v>28</v>
      </c>
      <c r="M82" s="2" t="s">
        <v>23</v>
      </c>
      <c r="N82" s="2" t="s">
        <v>18</v>
      </c>
      <c r="O82" s="3">
        <v>46105</v>
      </c>
    </row>
    <row r="83" spans="1:15" ht="13.8" x14ac:dyDescent="0.25">
      <c r="A83" s="2" t="str">
        <f t="shared" si="2"/>
        <v>C082</v>
      </c>
      <c r="B83" s="2">
        <v>23</v>
      </c>
      <c r="C83" s="2" t="s">
        <v>24</v>
      </c>
      <c r="D83" s="2" t="s">
        <v>25</v>
      </c>
      <c r="E83" s="2" t="s">
        <v>23</v>
      </c>
      <c r="F83" s="2" t="s">
        <v>39</v>
      </c>
      <c r="G83" s="2">
        <v>3</v>
      </c>
      <c r="H83" s="2">
        <v>5000</v>
      </c>
      <c r="I83" s="2">
        <f t="shared" si="3"/>
        <v>15000</v>
      </c>
      <c r="J83" s="2" t="s">
        <v>35</v>
      </c>
      <c r="K83" s="2" t="s">
        <v>32</v>
      </c>
      <c r="L83" s="2" t="s">
        <v>22</v>
      </c>
      <c r="M83" s="2" t="s">
        <v>18</v>
      </c>
      <c r="N83" s="2" t="s">
        <v>29</v>
      </c>
      <c r="O83" s="3">
        <v>46106</v>
      </c>
    </row>
    <row r="84" spans="1:15" ht="13.8" x14ac:dyDescent="0.25">
      <c r="A84" s="2" t="str">
        <f t="shared" si="2"/>
        <v>C083</v>
      </c>
      <c r="B84" s="2">
        <v>32</v>
      </c>
      <c r="C84" s="2" t="s">
        <v>16</v>
      </c>
      <c r="D84" s="2" t="s">
        <v>25</v>
      </c>
      <c r="E84" s="2" t="s">
        <v>23</v>
      </c>
      <c r="F84" s="2" t="s">
        <v>34</v>
      </c>
      <c r="G84" s="2">
        <v>2</v>
      </c>
      <c r="H84" s="2">
        <v>3777</v>
      </c>
      <c r="I84" s="2">
        <f>G84*H84</f>
        <v>7554</v>
      </c>
      <c r="J84" s="2" t="s">
        <v>20</v>
      </c>
      <c r="K84" s="2" t="s">
        <v>21</v>
      </c>
      <c r="L84" t="s">
        <v>28</v>
      </c>
      <c r="M84" s="2" t="s">
        <v>23</v>
      </c>
      <c r="N84" s="2" t="s">
        <v>23</v>
      </c>
      <c r="O84" s="3">
        <v>46107</v>
      </c>
    </row>
    <row r="85" spans="1:15" ht="13.8" x14ac:dyDescent="0.25">
      <c r="A85" s="2" t="str">
        <f t="shared" si="2"/>
        <v>C084</v>
      </c>
      <c r="B85" s="2">
        <v>50</v>
      </c>
      <c r="C85" s="2" t="s">
        <v>24</v>
      </c>
      <c r="D85" s="2" t="s">
        <v>30</v>
      </c>
      <c r="E85" s="2" t="s">
        <v>18</v>
      </c>
      <c r="F85" s="2" t="s">
        <v>31</v>
      </c>
      <c r="G85" s="2">
        <v>20</v>
      </c>
      <c r="H85" s="2">
        <v>5665</v>
      </c>
      <c r="I85" s="2">
        <f t="shared" ref="I85:I101" si="4">G85*H85</f>
        <v>113300</v>
      </c>
      <c r="J85" s="2" t="s">
        <v>35</v>
      </c>
      <c r="K85" s="2" t="s">
        <v>32</v>
      </c>
      <c r="L85" s="2" t="s">
        <v>44</v>
      </c>
      <c r="M85" s="2" t="s">
        <v>18</v>
      </c>
      <c r="N85" s="2" t="s">
        <v>18</v>
      </c>
      <c r="O85" s="3">
        <v>46108</v>
      </c>
    </row>
    <row r="86" spans="1:15" ht="13.8" x14ac:dyDescent="0.25">
      <c r="A86" s="2" t="str">
        <f t="shared" si="2"/>
        <v>C085</v>
      </c>
      <c r="B86" s="2">
        <v>40</v>
      </c>
      <c r="C86" s="2" t="s">
        <v>16</v>
      </c>
      <c r="D86" s="2" t="s">
        <v>36</v>
      </c>
      <c r="E86" s="2" t="s">
        <v>23</v>
      </c>
      <c r="F86" s="2" t="s">
        <v>26</v>
      </c>
      <c r="G86" s="2">
        <v>10</v>
      </c>
      <c r="H86" s="2">
        <v>2455</v>
      </c>
      <c r="I86" s="2">
        <f t="shared" si="4"/>
        <v>24550</v>
      </c>
      <c r="J86" s="2" t="s">
        <v>42</v>
      </c>
      <c r="K86" s="2" t="s">
        <v>32</v>
      </c>
      <c r="L86" t="s">
        <v>28</v>
      </c>
      <c r="M86" s="2" t="s">
        <v>23</v>
      </c>
      <c r="N86" s="2" t="s">
        <v>29</v>
      </c>
      <c r="O86" s="3">
        <v>46109</v>
      </c>
    </row>
    <row r="87" spans="1:15" ht="13.8" x14ac:dyDescent="0.25">
      <c r="A87" s="2" t="str">
        <f t="shared" si="2"/>
        <v>C086</v>
      </c>
      <c r="B87" s="2">
        <v>44</v>
      </c>
      <c r="C87" s="2" t="s">
        <v>24</v>
      </c>
      <c r="D87" s="2" t="s">
        <v>33</v>
      </c>
      <c r="E87" s="2" t="s">
        <v>18</v>
      </c>
      <c r="F87" s="2" t="s">
        <v>38</v>
      </c>
      <c r="G87" s="2">
        <v>15</v>
      </c>
      <c r="H87" s="2">
        <v>3422</v>
      </c>
      <c r="I87" s="2">
        <f t="shared" si="4"/>
        <v>51330</v>
      </c>
      <c r="J87" s="2" t="s">
        <v>41</v>
      </c>
      <c r="K87" s="2" t="s">
        <v>21</v>
      </c>
      <c r="L87" s="2" t="s">
        <v>44</v>
      </c>
      <c r="M87" s="2" t="s">
        <v>18</v>
      </c>
      <c r="N87" s="2" t="s">
        <v>23</v>
      </c>
      <c r="O87" s="3">
        <v>46110</v>
      </c>
    </row>
    <row r="88" spans="1:15" ht="13.8" x14ac:dyDescent="0.25">
      <c r="A88" s="2" t="str">
        <f t="shared" si="2"/>
        <v>C087</v>
      </c>
      <c r="B88" s="2">
        <v>22</v>
      </c>
      <c r="C88" s="2" t="s">
        <v>16</v>
      </c>
      <c r="D88" s="2" t="s">
        <v>36</v>
      </c>
      <c r="E88" s="2" t="s">
        <v>23</v>
      </c>
      <c r="F88" s="2" t="s">
        <v>37</v>
      </c>
      <c r="G88" s="2">
        <v>19</v>
      </c>
      <c r="H88" s="2">
        <v>2231</v>
      </c>
      <c r="I88" s="2">
        <f t="shared" si="4"/>
        <v>42389</v>
      </c>
      <c r="J88" s="2" t="s">
        <v>41</v>
      </c>
      <c r="K88" s="2" t="s">
        <v>32</v>
      </c>
      <c r="L88" t="s">
        <v>28</v>
      </c>
      <c r="M88" s="2" t="s">
        <v>23</v>
      </c>
      <c r="N88" s="2" t="s">
        <v>18</v>
      </c>
      <c r="O88" s="3">
        <v>46111</v>
      </c>
    </row>
    <row r="89" spans="1:15" ht="13.8" x14ac:dyDescent="0.25">
      <c r="A89" s="2" t="str">
        <f t="shared" si="2"/>
        <v>C088</v>
      </c>
      <c r="B89" s="2">
        <v>24</v>
      </c>
      <c r="C89" s="2" t="s">
        <v>24</v>
      </c>
      <c r="D89" s="2" t="s">
        <v>33</v>
      </c>
      <c r="E89" s="2" t="s">
        <v>18</v>
      </c>
      <c r="F89" s="2" t="s">
        <v>40</v>
      </c>
      <c r="G89" s="2">
        <v>15</v>
      </c>
      <c r="H89" s="2">
        <v>4478</v>
      </c>
      <c r="I89" s="2">
        <f t="shared" si="4"/>
        <v>67170</v>
      </c>
      <c r="J89" s="2" t="s">
        <v>20</v>
      </c>
      <c r="K89" s="2" t="s">
        <v>21</v>
      </c>
      <c r="L89" s="2" t="s">
        <v>44</v>
      </c>
      <c r="M89" s="2" t="s">
        <v>18</v>
      </c>
      <c r="N89" s="2" t="s">
        <v>29</v>
      </c>
      <c r="O89" s="3">
        <v>46112</v>
      </c>
    </row>
    <row r="90" spans="1:15" ht="13.8" x14ac:dyDescent="0.25">
      <c r="A90" s="2" t="str">
        <f t="shared" si="2"/>
        <v>C089</v>
      </c>
      <c r="B90" s="2">
        <v>43</v>
      </c>
      <c r="C90" s="2" t="s">
        <v>16</v>
      </c>
      <c r="D90" s="2" t="s">
        <v>30</v>
      </c>
      <c r="E90" s="2" t="s">
        <v>23</v>
      </c>
      <c r="F90" s="2" t="s">
        <v>37</v>
      </c>
      <c r="G90" s="2">
        <v>17</v>
      </c>
      <c r="H90" s="2">
        <v>4344</v>
      </c>
      <c r="I90" s="2">
        <f t="shared" si="4"/>
        <v>73848</v>
      </c>
      <c r="J90" s="2" t="s">
        <v>35</v>
      </c>
      <c r="K90" s="2" t="s">
        <v>21</v>
      </c>
      <c r="L90" t="s">
        <v>28</v>
      </c>
      <c r="M90" s="2" t="s">
        <v>23</v>
      </c>
      <c r="N90" s="2" t="s">
        <v>23</v>
      </c>
      <c r="O90" s="3">
        <v>46113</v>
      </c>
    </row>
    <row r="91" spans="1:15" ht="13.8" x14ac:dyDescent="0.25">
      <c r="A91" s="2" t="str">
        <f t="shared" si="2"/>
        <v>C090</v>
      </c>
      <c r="B91" s="2">
        <v>45</v>
      </c>
      <c r="C91" s="2" t="s">
        <v>24</v>
      </c>
      <c r="D91" s="2" t="s">
        <v>17</v>
      </c>
      <c r="E91" s="2" t="s">
        <v>18</v>
      </c>
      <c r="F91" s="2" t="s">
        <v>38</v>
      </c>
      <c r="G91" s="2">
        <v>13</v>
      </c>
      <c r="H91" s="2">
        <v>1233</v>
      </c>
      <c r="I91" s="2">
        <f t="shared" si="4"/>
        <v>16029</v>
      </c>
      <c r="J91" s="2" t="s">
        <v>27</v>
      </c>
      <c r="K91" s="2" t="s">
        <v>32</v>
      </c>
      <c r="L91" s="2" t="s">
        <v>22</v>
      </c>
      <c r="M91" s="2" t="s">
        <v>18</v>
      </c>
      <c r="N91" s="2" t="s">
        <v>18</v>
      </c>
      <c r="O91" s="3">
        <v>46114</v>
      </c>
    </row>
    <row r="92" spans="1:15" ht="13.8" x14ac:dyDescent="0.25">
      <c r="A92" s="2" t="str">
        <f t="shared" si="2"/>
        <v>C091</v>
      </c>
      <c r="B92" s="2">
        <v>37</v>
      </c>
      <c r="C92" s="2" t="s">
        <v>16</v>
      </c>
      <c r="D92" s="2" t="s">
        <v>25</v>
      </c>
      <c r="E92" s="2" t="s">
        <v>23</v>
      </c>
      <c r="F92" s="2" t="s">
        <v>34</v>
      </c>
      <c r="G92" s="2">
        <v>2</v>
      </c>
      <c r="H92" s="2">
        <v>4322</v>
      </c>
      <c r="I92" s="2">
        <f t="shared" si="4"/>
        <v>8644</v>
      </c>
      <c r="J92" s="2" t="s">
        <v>41</v>
      </c>
      <c r="K92" s="2" t="s">
        <v>21</v>
      </c>
      <c r="L92" t="s">
        <v>28</v>
      </c>
      <c r="M92" s="2" t="s">
        <v>23</v>
      </c>
      <c r="N92" s="2" t="s">
        <v>29</v>
      </c>
      <c r="O92" s="3">
        <v>46115</v>
      </c>
    </row>
    <row r="93" spans="1:15" ht="13.8" x14ac:dyDescent="0.25">
      <c r="A93" s="2" t="str">
        <f t="shared" si="2"/>
        <v>C092</v>
      </c>
      <c r="B93" s="2">
        <v>39</v>
      </c>
      <c r="C93" s="2" t="s">
        <v>24</v>
      </c>
      <c r="D93" s="2" t="s">
        <v>33</v>
      </c>
      <c r="E93" s="2" t="s">
        <v>18</v>
      </c>
      <c r="F93" s="2" t="s">
        <v>26</v>
      </c>
      <c r="G93" s="2">
        <v>4</v>
      </c>
      <c r="H93" s="2">
        <v>3345</v>
      </c>
      <c r="I93" s="2">
        <f t="shared" si="4"/>
        <v>13380</v>
      </c>
      <c r="J93" s="2" t="s">
        <v>42</v>
      </c>
      <c r="K93" s="2" t="s">
        <v>21</v>
      </c>
      <c r="L93" s="2" t="s">
        <v>22</v>
      </c>
      <c r="M93" s="2" t="s">
        <v>18</v>
      </c>
      <c r="N93" s="2" t="s">
        <v>18</v>
      </c>
      <c r="O93" s="3">
        <v>46116</v>
      </c>
    </row>
    <row r="94" spans="1:15" ht="13.8" x14ac:dyDescent="0.25">
      <c r="A94" s="2" t="str">
        <f t="shared" si="2"/>
        <v>C093</v>
      </c>
      <c r="B94" s="2">
        <v>38</v>
      </c>
      <c r="C94" s="2" t="s">
        <v>24</v>
      </c>
      <c r="D94" s="2" t="s">
        <v>30</v>
      </c>
      <c r="E94" s="2" t="s">
        <v>18</v>
      </c>
      <c r="F94" s="2" t="s">
        <v>39</v>
      </c>
      <c r="G94" s="2">
        <v>6</v>
      </c>
      <c r="H94" s="2">
        <v>2231</v>
      </c>
      <c r="I94" s="2">
        <f t="shared" si="4"/>
        <v>13386</v>
      </c>
      <c r="J94" s="2" t="s">
        <v>35</v>
      </c>
      <c r="K94" s="2" t="s">
        <v>32</v>
      </c>
      <c r="L94" t="s">
        <v>28</v>
      </c>
      <c r="M94" s="2" t="s">
        <v>23</v>
      </c>
      <c r="N94" s="2" t="s">
        <v>23</v>
      </c>
      <c r="O94" s="3">
        <v>46117</v>
      </c>
    </row>
    <row r="95" spans="1:15" ht="13.8" x14ac:dyDescent="0.25">
      <c r="A95" s="2" t="str">
        <f t="shared" si="2"/>
        <v>C094</v>
      </c>
      <c r="B95" s="2">
        <v>49</v>
      </c>
      <c r="C95" s="2" t="s">
        <v>16</v>
      </c>
      <c r="D95" s="2" t="s">
        <v>36</v>
      </c>
      <c r="E95" s="2" t="s">
        <v>23</v>
      </c>
      <c r="F95" s="2" t="s">
        <v>19</v>
      </c>
      <c r="G95" s="2">
        <v>7</v>
      </c>
      <c r="H95" s="2">
        <v>2748</v>
      </c>
      <c r="I95" s="2">
        <f t="shared" si="4"/>
        <v>19236</v>
      </c>
      <c r="J95" s="2" t="s">
        <v>41</v>
      </c>
      <c r="K95" s="2" t="s">
        <v>21</v>
      </c>
      <c r="L95" s="2" t="s">
        <v>22</v>
      </c>
      <c r="M95" s="2" t="s">
        <v>18</v>
      </c>
      <c r="N95" s="2" t="s">
        <v>18</v>
      </c>
      <c r="O95" s="3">
        <v>46118</v>
      </c>
    </row>
    <row r="96" spans="1:15" ht="13.8" x14ac:dyDescent="0.25">
      <c r="A96" s="2" t="str">
        <f t="shared" si="2"/>
        <v>C095</v>
      </c>
      <c r="B96" s="2">
        <v>26</v>
      </c>
      <c r="C96" s="2" t="s">
        <v>16</v>
      </c>
      <c r="D96" s="2" t="s">
        <v>25</v>
      </c>
      <c r="E96" s="2" t="s">
        <v>23</v>
      </c>
      <c r="F96" s="2" t="s">
        <v>31</v>
      </c>
      <c r="G96" s="2">
        <v>9</v>
      </c>
      <c r="H96" s="2">
        <v>3567</v>
      </c>
      <c r="I96" s="2">
        <f t="shared" si="4"/>
        <v>32103</v>
      </c>
      <c r="J96" s="2" t="s">
        <v>20</v>
      </c>
      <c r="K96" s="2" t="s">
        <v>32</v>
      </c>
      <c r="L96" t="s">
        <v>28</v>
      </c>
      <c r="M96" s="2" t="s">
        <v>23</v>
      </c>
      <c r="N96" s="2" t="s">
        <v>29</v>
      </c>
      <c r="O96" s="3">
        <v>46119</v>
      </c>
    </row>
    <row r="97" spans="1:15" ht="13.8" x14ac:dyDescent="0.25">
      <c r="A97" s="2" t="str">
        <f t="shared" si="2"/>
        <v>C096</v>
      </c>
      <c r="B97" s="2">
        <v>23</v>
      </c>
      <c r="C97" s="2" t="s">
        <v>16</v>
      </c>
      <c r="D97" s="2" t="s">
        <v>17</v>
      </c>
      <c r="E97" s="2" t="s">
        <v>18</v>
      </c>
      <c r="F97" s="2" t="s">
        <v>40</v>
      </c>
      <c r="G97" s="2">
        <v>5</v>
      </c>
      <c r="H97" s="2">
        <v>4323</v>
      </c>
      <c r="I97" s="2">
        <f t="shared" si="4"/>
        <v>21615</v>
      </c>
      <c r="J97" s="2" t="s">
        <v>27</v>
      </c>
      <c r="K97" s="2" t="s">
        <v>21</v>
      </c>
      <c r="L97" s="2" t="s">
        <v>22</v>
      </c>
      <c r="M97" s="2" t="s">
        <v>18</v>
      </c>
      <c r="N97" s="2" t="s">
        <v>29</v>
      </c>
      <c r="O97" s="3">
        <v>46120</v>
      </c>
    </row>
    <row r="98" spans="1:15" ht="13.8" x14ac:dyDescent="0.25">
      <c r="A98" s="2" t="str">
        <f t="shared" si="2"/>
        <v>C097</v>
      </c>
      <c r="B98" s="2">
        <v>47</v>
      </c>
      <c r="C98" s="2" t="s">
        <v>24</v>
      </c>
      <c r="D98" s="2" t="s">
        <v>36</v>
      </c>
      <c r="E98" s="2" t="s">
        <v>23</v>
      </c>
      <c r="F98" s="2" t="s">
        <v>39</v>
      </c>
      <c r="G98" s="2">
        <v>14</v>
      </c>
      <c r="H98" s="2">
        <v>1324</v>
      </c>
      <c r="I98" s="2">
        <f t="shared" si="4"/>
        <v>18536</v>
      </c>
      <c r="J98" s="2" t="s">
        <v>35</v>
      </c>
      <c r="K98" s="2" t="s">
        <v>21</v>
      </c>
      <c r="L98" t="s">
        <v>28</v>
      </c>
      <c r="M98" s="2" t="s">
        <v>23</v>
      </c>
      <c r="N98" s="2" t="s">
        <v>18</v>
      </c>
      <c r="O98" s="3">
        <v>46121</v>
      </c>
    </row>
    <row r="99" spans="1:15" ht="13.8" x14ac:dyDescent="0.25">
      <c r="A99" s="2" t="str">
        <f t="shared" si="2"/>
        <v>C098</v>
      </c>
      <c r="B99" s="2">
        <v>50</v>
      </c>
      <c r="C99" s="2" t="s">
        <v>16</v>
      </c>
      <c r="D99" s="2" t="s">
        <v>25</v>
      </c>
      <c r="E99" s="2" t="s">
        <v>18</v>
      </c>
      <c r="F99" s="2" t="s">
        <v>38</v>
      </c>
      <c r="G99" s="2">
        <v>16</v>
      </c>
      <c r="H99" s="2">
        <v>3567</v>
      </c>
      <c r="I99" s="2">
        <f t="shared" si="4"/>
        <v>57072</v>
      </c>
      <c r="J99" s="2" t="s">
        <v>42</v>
      </c>
      <c r="K99" s="2" t="s">
        <v>32</v>
      </c>
      <c r="L99" s="2" t="s">
        <v>22</v>
      </c>
      <c r="M99" s="2" t="s">
        <v>18</v>
      </c>
      <c r="N99" s="2" t="s">
        <v>18</v>
      </c>
      <c r="O99" s="3">
        <v>46122</v>
      </c>
    </row>
    <row r="100" spans="1:15" ht="13.8" x14ac:dyDescent="0.25">
      <c r="A100" s="2" t="str">
        <f t="shared" si="2"/>
        <v>C099</v>
      </c>
      <c r="B100" s="2">
        <v>40</v>
      </c>
      <c r="C100" s="2" t="s">
        <v>24</v>
      </c>
      <c r="D100" s="2" t="s">
        <v>33</v>
      </c>
      <c r="E100" s="2" t="s">
        <v>23</v>
      </c>
      <c r="F100" s="2" t="s">
        <v>37</v>
      </c>
      <c r="G100" s="2">
        <v>14</v>
      </c>
      <c r="H100" s="2">
        <v>4398</v>
      </c>
      <c r="I100" s="2">
        <f t="shared" si="4"/>
        <v>61572</v>
      </c>
      <c r="J100" s="2" t="s">
        <v>20</v>
      </c>
      <c r="K100" s="2" t="s">
        <v>32</v>
      </c>
      <c r="L100" t="s">
        <v>28</v>
      </c>
      <c r="M100" s="2" t="s">
        <v>23</v>
      </c>
      <c r="N100" s="2" t="s">
        <v>23</v>
      </c>
      <c r="O100" s="3">
        <v>46123</v>
      </c>
    </row>
    <row r="101" spans="1:15" ht="13.8" x14ac:dyDescent="0.25">
      <c r="A101" s="2" t="str">
        <f t="shared" si="2"/>
        <v>C100</v>
      </c>
      <c r="B101" s="2">
        <v>30</v>
      </c>
      <c r="C101" s="2" t="s">
        <v>16</v>
      </c>
      <c r="D101" s="2" t="s">
        <v>30</v>
      </c>
      <c r="E101" s="2" t="s">
        <v>18</v>
      </c>
      <c r="F101" s="2" t="s">
        <v>34</v>
      </c>
      <c r="G101" s="2">
        <v>15</v>
      </c>
      <c r="H101" s="2">
        <v>4334</v>
      </c>
      <c r="I101" s="2">
        <f t="shared" si="4"/>
        <v>65010</v>
      </c>
      <c r="J101" s="2" t="s">
        <v>27</v>
      </c>
      <c r="K101" s="2" t="s">
        <v>21</v>
      </c>
      <c r="L101" s="2" t="s">
        <v>28</v>
      </c>
      <c r="M101" s="2" t="s">
        <v>18</v>
      </c>
      <c r="N101" s="2" t="s">
        <v>18</v>
      </c>
      <c r="O101" s="3">
        <v>46124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8B48-67C3-43A4-9BC3-E302B1F7AA6A}">
  <dimension ref="A1:T101"/>
  <sheetViews>
    <sheetView topLeftCell="E1" zoomScale="77" workbookViewId="0">
      <selection activeCell="V22" sqref="V22"/>
    </sheetView>
  </sheetViews>
  <sheetFormatPr defaultRowHeight="14.4" x14ac:dyDescent="0.25"/>
  <cols>
    <col min="1" max="1" width="17.796875" customWidth="1"/>
    <col min="2" max="2" width="9.796875" customWidth="1"/>
    <col min="3" max="3" width="13" customWidth="1"/>
    <col min="4" max="4" width="9.796875" customWidth="1"/>
    <col min="5" max="5" width="18.3984375" customWidth="1"/>
    <col min="6" max="6" width="16.5" customWidth="1"/>
    <col min="7" max="7" width="24.69921875" customWidth="1"/>
    <col min="8" max="8" width="21.69921875" customWidth="1"/>
    <col min="9" max="9" width="20.296875" customWidth="1"/>
    <col min="10" max="10" width="22.296875" customWidth="1"/>
    <col min="11" max="11" width="22.59765625" customWidth="1"/>
    <col min="12" max="12" width="20.296875" customWidth="1"/>
    <col min="13" max="13" width="22.796875" customWidth="1"/>
    <col min="14" max="14" width="24.3984375" customWidth="1"/>
    <col min="15" max="15" width="24.296875" customWidth="1"/>
    <col min="16" max="16" width="23.69921875" customWidth="1"/>
    <col min="17" max="17" width="24.8984375" customWidth="1"/>
    <col min="18" max="18" width="18.296875" customWidth="1"/>
    <col min="19" max="19" width="19.296875" customWidth="1"/>
    <col min="20" max="20" width="21.59765625" customWidth="1"/>
  </cols>
  <sheetData>
    <row r="1" spans="1:20" ht="13.8" x14ac:dyDescent="0.25">
      <c r="A1" s="1" t="s">
        <v>3</v>
      </c>
      <c r="B1" s="1" t="s">
        <v>0</v>
      </c>
      <c r="C1" s="1" t="s">
        <v>1</v>
      </c>
      <c r="D1" s="1" t="s">
        <v>4</v>
      </c>
      <c r="E1" s="1" t="s">
        <v>5</v>
      </c>
      <c r="F1" s="1" t="s">
        <v>2</v>
      </c>
      <c r="G1" s="1" t="s">
        <v>6</v>
      </c>
      <c r="H1" s="1" t="s">
        <v>7</v>
      </c>
      <c r="I1" s="1" t="s">
        <v>8</v>
      </c>
      <c r="J1" s="1" t="s">
        <v>9</v>
      </c>
      <c r="K1" s="1" t="s">
        <v>10</v>
      </c>
      <c r="L1" s="1" t="s">
        <v>11</v>
      </c>
      <c r="M1" s="1" t="s">
        <v>12</v>
      </c>
      <c r="N1" s="1" t="s">
        <v>13</v>
      </c>
      <c r="O1" s="1" t="s">
        <v>14</v>
      </c>
      <c r="P1" s="1" t="s">
        <v>15</v>
      </c>
      <c r="Q1" t="s">
        <v>45</v>
      </c>
      <c r="R1" t="s">
        <v>46</v>
      </c>
      <c r="S1" t="s">
        <v>47</v>
      </c>
      <c r="T1" t="s">
        <v>48</v>
      </c>
    </row>
    <row r="2" spans="1:20" ht="27.6" x14ac:dyDescent="0.25">
      <c r="A2" s="2" t="str">
        <f>"C"&amp;TEXT(ROW()-1,"000")</f>
        <v>C001</v>
      </c>
      <c r="B2" s="2">
        <v>25</v>
      </c>
      <c r="C2" s="2" t="s">
        <v>16</v>
      </c>
      <c r="D2" s="2" t="s">
        <v>17</v>
      </c>
      <c r="E2" s="2" t="s">
        <v>18</v>
      </c>
      <c r="F2" s="2" t="s">
        <v>19</v>
      </c>
      <c r="G2" s="2">
        <v>5</v>
      </c>
      <c r="H2" s="2">
        <v>1200</v>
      </c>
      <c r="I2" s="2">
        <f>G2*H2</f>
        <v>6000</v>
      </c>
      <c r="J2" s="2" t="s">
        <v>20</v>
      </c>
      <c r="K2" s="2" t="s">
        <v>21</v>
      </c>
      <c r="L2" s="2" t="s">
        <v>22</v>
      </c>
      <c r="M2" s="2" t="s">
        <v>18</v>
      </c>
      <c r="N2" s="2" t="s">
        <v>23</v>
      </c>
      <c r="O2" s="3">
        <v>46025</v>
      </c>
      <c r="P2" s="2" t="str">
        <f t="shared" ref="P2:P33" si="0">IF(T2&gt;=8,"Premium",IF(T2&gt;=5,"Regular","Low Value"))</f>
        <v>Low Value</v>
      </c>
      <c r="Q2">
        <f t="shared" ref="Q2:Q33" si="1">IF(G2&gt;=15,3,IF(G2&gt;=8,2,1))</f>
        <v>1</v>
      </c>
      <c r="R2">
        <f t="shared" ref="R2:R33" si="2">IF(I2&gt;=40000,3,IF(I2&gt;=15000,2,1))</f>
        <v>1</v>
      </c>
      <c r="S2">
        <f t="shared" ref="S2:S33" si="3">IF(M2="High",3,IF(M2="Medium",2,1))</f>
        <v>2</v>
      </c>
      <c r="T2">
        <f>Q2+R2+S2</f>
        <v>4</v>
      </c>
    </row>
    <row r="3" spans="1:20" ht="13.8" x14ac:dyDescent="0.25">
      <c r="A3" s="2" t="str">
        <f t="shared" ref="A3:A66" si="4">"C"&amp;TEXT(ROW()-1,"000")</f>
        <v>C002</v>
      </c>
      <c r="B3" s="2">
        <v>32</v>
      </c>
      <c r="C3" s="2" t="s">
        <v>24</v>
      </c>
      <c r="D3" s="2" t="s">
        <v>25</v>
      </c>
      <c r="E3" s="2" t="s">
        <v>23</v>
      </c>
      <c r="F3" s="2" t="s">
        <v>26</v>
      </c>
      <c r="G3" s="2">
        <v>12</v>
      </c>
      <c r="H3" s="2">
        <v>2500</v>
      </c>
      <c r="I3" s="2">
        <f t="shared" ref="I3:I66" si="5">G3*H3</f>
        <v>30000</v>
      </c>
      <c r="J3" s="2" t="s">
        <v>27</v>
      </c>
      <c r="K3" s="2" t="s">
        <v>21</v>
      </c>
      <c r="L3" s="2" t="s">
        <v>28</v>
      </c>
      <c r="M3" s="2" t="s">
        <v>23</v>
      </c>
      <c r="N3" s="2" t="s">
        <v>29</v>
      </c>
      <c r="O3" s="3">
        <v>46026</v>
      </c>
      <c r="P3" s="2" t="str">
        <f t="shared" si="0"/>
        <v>Regular</v>
      </c>
      <c r="Q3">
        <f t="shared" si="1"/>
        <v>2</v>
      </c>
      <c r="R3">
        <f t="shared" si="2"/>
        <v>2</v>
      </c>
      <c r="S3">
        <f t="shared" si="3"/>
        <v>3</v>
      </c>
      <c r="T3">
        <f t="shared" ref="T3:T66" si="6">Q3+R3+S3</f>
        <v>7</v>
      </c>
    </row>
    <row r="4" spans="1:20" ht="13.8" x14ac:dyDescent="0.25">
      <c r="A4" s="2" t="str">
        <f t="shared" si="4"/>
        <v>C003</v>
      </c>
      <c r="B4" s="2">
        <v>40</v>
      </c>
      <c r="C4" s="2" t="s">
        <v>16</v>
      </c>
      <c r="D4" s="2" t="s">
        <v>30</v>
      </c>
      <c r="E4" s="2" t="s">
        <v>23</v>
      </c>
      <c r="F4" s="2" t="s">
        <v>31</v>
      </c>
      <c r="G4" s="2">
        <v>20</v>
      </c>
      <c r="H4" s="2">
        <v>3000</v>
      </c>
      <c r="I4" s="2">
        <f t="shared" si="5"/>
        <v>60000</v>
      </c>
      <c r="J4" s="2" t="s">
        <v>20</v>
      </c>
      <c r="K4" s="2" t="s">
        <v>32</v>
      </c>
      <c r="L4" s="2" t="s">
        <v>28</v>
      </c>
      <c r="M4" s="2" t="s">
        <v>23</v>
      </c>
      <c r="N4" s="2" t="s">
        <v>29</v>
      </c>
      <c r="O4" s="3">
        <v>46027</v>
      </c>
      <c r="P4" s="2" t="str">
        <f>IF(T4&gt;=8,"Premium",IF(Q4,"Regular","Low Value"))</f>
        <v>Premium</v>
      </c>
      <c r="Q4">
        <f t="shared" si="1"/>
        <v>3</v>
      </c>
      <c r="R4">
        <f t="shared" si="2"/>
        <v>3</v>
      </c>
      <c r="S4">
        <f t="shared" si="3"/>
        <v>3</v>
      </c>
      <c r="T4">
        <f t="shared" si="6"/>
        <v>9</v>
      </c>
    </row>
    <row r="5" spans="1:20" ht="13.8" x14ac:dyDescent="0.25">
      <c r="A5" s="2" t="str">
        <f t="shared" si="4"/>
        <v>C004</v>
      </c>
      <c r="B5" s="2">
        <v>28</v>
      </c>
      <c r="C5" s="2" t="s">
        <v>24</v>
      </c>
      <c r="D5" s="2" t="s">
        <v>33</v>
      </c>
      <c r="E5" s="2" t="s">
        <v>18</v>
      </c>
      <c r="F5" s="2" t="s">
        <v>34</v>
      </c>
      <c r="G5" s="2">
        <v>8</v>
      </c>
      <c r="H5" s="2">
        <v>1500</v>
      </c>
      <c r="I5" s="2">
        <f t="shared" si="5"/>
        <v>12000</v>
      </c>
      <c r="J5" s="2" t="s">
        <v>35</v>
      </c>
      <c r="K5" s="2" t="s">
        <v>21</v>
      </c>
      <c r="L5" s="2" t="s">
        <v>28</v>
      </c>
      <c r="M5" s="2" t="s">
        <v>18</v>
      </c>
      <c r="N5" s="2" t="s">
        <v>18</v>
      </c>
      <c r="O5" s="3">
        <v>46028</v>
      </c>
      <c r="P5" s="2" t="str">
        <f t="shared" si="0"/>
        <v>Regular</v>
      </c>
      <c r="Q5">
        <f t="shared" si="1"/>
        <v>2</v>
      </c>
      <c r="R5">
        <f t="shared" si="2"/>
        <v>1</v>
      </c>
      <c r="S5">
        <f t="shared" si="3"/>
        <v>2</v>
      </c>
      <c r="T5">
        <f t="shared" si="6"/>
        <v>5</v>
      </c>
    </row>
    <row r="6" spans="1:20" ht="13.8" x14ac:dyDescent="0.25">
      <c r="A6" s="2" t="str">
        <f t="shared" si="4"/>
        <v>C005</v>
      </c>
      <c r="B6" s="2">
        <v>35</v>
      </c>
      <c r="C6" s="2" t="s">
        <v>16</v>
      </c>
      <c r="D6" s="2" t="s">
        <v>36</v>
      </c>
      <c r="E6" s="2" t="s">
        <v>23</v>
      </c>
      <c r="F6" s="2" t="s">
        <v>37</v>
      </c>
      <c r="G6" s="2">
        <v>15</v>
      </c>
      <c r="H6" s="2">
        <v>2800</v>
      </c>
      <c r="I6" s="2">
        <f t="shared" si="5"/>
        <v>42000</v>
      </c>
      <c r="J6" s="2" t="s">
        <v>20</v>
      </c>
      <c r="K6" s="2" t="s">
        <v>32</v>
      </c>
      <c r="L6" s="2" t="s">
        <v>28</v>
      </c>
      <c r="M6" s="2" t="s">
        <v>23</v>
      </c>
      <c r="N6" s="2" t="s">
        <v>29</v>
      </c>
      <c r="O6" s="3">
        <v>46029</v>
      </c>
      <c r="P6" s="2" t="str">
        <f t="shared" si="0"/>
        <v>Premium</v>
      </c>
      <c r="Q6">
        <f t="shared" si="1"/>
        <v>3</v>
      </c>
      <c r="R6">
        <f t="shared" si="2"/>
        <v>3</v>
      </c>
      <c r="S6">
        <f t="shared" si="3"/>
        <v>3</v>
      </c>
      <c r="T6">
        <f t="shared" si="6"/>
        <v>9</v>
      </c>
    </row>
    <row r="7" spans="1:20" ht="13.8" x14ac:dyDescent="0.25">
      <c r="A7" s="2" t="str">
        <f t="shared" si="4"/>
        <v>C006</v>
      </c>
      <c r="B7" s="2">
        <v>21</v>
      </c>
      <c r="C7" s="2" t="s">
        <v>24</v>
      </c>
      <c r="D7" s="2" t="s">
        <v>33</v>
      </c>
      <c r="E7" s="2" t="s">
        <v>18</v>
      </c>
      <c r="F7" s="2" t="s">
        <v>38</v>
      </c>
      <c r="G7" s="2">
        <v>7</v>
      </c>
      <c r="H7" s="2">
        <v>2800</v>
      </c>
      <c r="I7" s="2">
        <f t="shared" si="5"/>
        <v>19600</v>
      </c>
      <c r="J7" s="2" t="s">
        <v>41</v>
      </c>
      <c r="K7" s="2" t="s">
        <v>21</v>
      </c>
      <c r="L7" s="2" t="s">
        <v>22</v>
      </c>
      <c r="M7" s="2" t="s">
        <v>23</v>
      </c>
      <c r="N7" s="2" t="s">
        <v>23</v>
      </c>
      <c r="O7" s="3">
        <v>46030</v>
      </c>
      <c r="P7" t="str">
        <f t="shared" si="0"/>
        <v>Regular</v>
      </c>
      <c r="Q7">
        <f t="shared" si="1"/>
        <v>1</v>
      </c>
      <c r="R7">
        <f t="shared" si="2"/>
        <v>2</v>
      </c>
      <c r="S7">
        <f t="shared" si="3"/>
        <v>3</v>
      </c>
      <c r="T7">
        <f t="shared" si="6"/>
        <v>6</v>
      </c>
    </row>
    <row r="8" spans="1:20" ht="13.8" x14ac:dyDescent="0.25">
      <c r="A8" s="2" t="str">
        <f t="shared" si="4"/>
        <v>C007</v>
      </c>
      <c r="B8" s="2">
        <v>32</v>
      </c>
      <c r="C8" s="2" t="s">
        <v>16</v>
      </c>
      <c r="D8" s="2" t="s">
        <v>36</v>
      </c>
      <c r="E8" s="2" t="s">
        <v>23</v>
      </c>
      <c r="F8" s="2" t="s">
        <v>39</v>
      </c>
      <c r="G8" s="2">
        <v>4</v>
      </c>
      <c r="H8" s="2">
        <v>2800</v>
      </c>
      <c r="I8" s="2">
        <f t="shared" si="5"/>
        <v>11200</v>
      </c>
      <c r="J8" s="2" t="s">
        <v>20</v>
      </c>
      <c r="K8" s="2" t="s">
        <v>32</v>
      </c>
      <c r="L8" s="2" t="s">
        <v>28</v>
      </c>
      <c r="M8" s="2" t="s">
        <v>18</v>
      </c>
      <c r="N8" s="2" t="s">
        <v>18</v>
      </c>
      <c r="O8" s="3">
        <v>46031</v>
      </c>
      <c r="P8" t="str">
        <f t="shared" si="0"/>
        <v>Low Value</v>
      </c>
      <c r="Q8">
        <f t="shared" si="1"/>
        <v>1</v>
      </c>
      <c r="R8">
        <f t="shared" si="2"/>
        <v>1</v>
      </c>
      <c r="S8">
        <f t="shared" si="3"/>
        <v>2</v>
      </c>
      <c r="T8">
        <f t="shared" si="6"/>
        <v>4</v>
      </c>
    </row>
    <row r="9" spans="1:20" ht="13.8" x14ac:dyDescent="0.25">
      <c r="A9" s="2" t="str">
        <f t="shared" si="4"/>
        <v>C008</v>
      </c>
      <c r="B9" s="2">
        <v>43</v>
      </c>
      <c r="C9" s="2" t="s">
        <v>24</v>
      </c>
      <c r="D9" s="2" t="s">
        <v>25</v>
      </c>
      <c r="E9" s="2" t="s">
        <v>23</v>
      </c>
      <c r="F9" s="2" t="s">
        <v>40</v>
      </c>
      <c r="G9" s="2">
        <v>6</v>
      </c>
      <c r="H9" s="2">
        <v>2367</v>
      </c>
      <c r="I9" s="2">
        <f t="shared" si="5"/>
        <v>14202</v>
      </c>
      <c r="J9" s="2" t="s">
        <v>27</v>
      </c>
      <c r="K9" s="2" t="s">
        <v>21</v>
      </c>
      <c r="L9" s="2" t="s">
        <v>22</v>
      </c>
      <c r="M9" s="2" t="s">
        <v>23</v>
      </c>
      <c r="N9" s="2" t="s">
        <v>29</v>
      </c>
      <c r="O9" s="3">
        <v>46032</v>
      </c>
      <c r="P9" t="str">
        <f t="shared" si="0"/>
        <v>Regular</v>
      </c>
      <c r="Q9">
        <f t="shared" si="1"/>
        <v>1</v>
      </c>
      <c r="R9">
        <f t="shared" si="2"/>
        <v>1</v>
      </c>
      <c r="S9">
        <f t="shared" si="3"/>
        <v>3</v>
      </c>
      <c r="T9">
        <f t="shared" si="6"/>
        <v>5</v>
      </c>
    </row>
    <row r="10" spans="1:20" ht="27.6" x14ac:dyDescent="0.25">
      <c r="A10" s="2" t="str">
        <f t="shared" si="4"/>
        <v>C009</v>
      </c>
      <c r="B10" s="2">
        <v>34</v>
      </c>
      <c r="C10" s="2" t="s">
        <v>16</v>
      </c>
      <c r="D10" s="2" t="s">
        <v>17</v>
      </c>
      <c r="E10" s="2" t="s">
        <v>18</v>
      </c>
      <c r="F10" s="2" t="s">
        <v>19</v>
      </c>
      <c r="G10" s="2">
        <v>7</v>
      </c>
      <c r="H10" s="2">
        <v>4563</v>
      </c>
      <c r="I10" s="2">
        <f t="shared" si="5"/>
        <v>31941</v>
      </c>
      <c r="J10" s="2" t="s">
        <v>41</v>
      </c>
      <c r="K10" s="2" t="s">
        <v>32</v>
      </c>
      <c r="L10" s="2" t="s">
        <v>28</v>
      </c>
      <c r="M10" s="2" t="s">
        <v>18</v>
      </c>
      <c r="N10" s="2" t="s">
        <v>23</v>
      </c>
      <c r="O10" s="3">
        <v>46033</v>
      </c>
      <c r="P10" t="str">
        <f t="shared" si="0"/>
        <v>Regular</v>
      </c>
      <c r="Q10">
        <f t="shared" si="1"/>
        <v>1</v>
      </c>
      <c r="R10">
        <f t="shared" si="2"/>
        <v>2</v>
      </c>
      <c r="S10">
        <f t="shared" si="3"/>
        <v>2</v>
      </c>
      <c r="T10">
        <f t="shared" si="6"/>
        <v>5</v>
      </c>
    </row>
    <row r="11" spans="1:20" ht="13.8" x14ac:dyDescent="0.25">
      <c r="A11" s="2" t="str">
        <f t="shared" si="4"/>
        <v>C010</v>
      </c>
      <c r="B11" s="2">
        <v>23</v>
      </c>
      <c r="C11" s="2" t="s">
        <v>16</v>
      </c>
      <c r="D11" s="2" t="s">
        <v>33</v>
      </c>
      <c r="E11" s="2" t="s">
        <v>18</v>
      </c>
      <c r="F11" s="2" t="s">
        <v>26</v>
      </c>
      <c r="G11" s="2">
        <v>5</v>
      </c>
      <c r="H11" s="2">
        <v>2345</v>
      </c>
      <c r="I11" s="2">
        <f t="shared" si="5"/>
        <v>11725</v>
      </c>
      <c r="J11" s="2" t="s">
        <v>35</v>
      </c>
      <c r="K11" s="2" t="s">
        <v>21</v>
      </c>
      <c r="L11" s="2" t="s">
        <v>22</v>
      </c>
      <c r="M11" s="2" t="s">
        <v>23</v>
      </c>
      <c r="N11" s="2" t="s">
        <v>18</v>
      </c>
      <c r="O11" s="3">
        <v>46034</v>
      </c>
      <c r="P11" t="str">
        <f t="shared" si="0"/>
        <v>Regular</v>
      </c>
      <c r="Q11">
        <f t="shared" si="1"/>
        <v>1</v>
      </c>
      <c r="R11">
        <f t="shared" si="2"/>
        <v>1</v>
      </c>
      <c r="S11">
        <f t="shared" si="3"/>
        <v>3</v>
      </c>
      <c r="T11">
        <f t="shared" si="6"/>
        <v>5</v>
      </c>
    </row>
    <row r="12" spans="1:20" ht="13.8" x14ac:dyDescent="0.25">
      <c r="A12" s="2" t="str">
        <f t="shared" si="4"/>
        <v>C011</v>
      </c>
      <c r="B12" s="2">
        <v>43</v>
      </c>
      <c r="C12" s="2" t="s">
        <v>24</v>
      </c>
      <c r="D12" s="2" t="s">
        <v>36</v>
      </c>
      <c r="E12" s="2" t="s">
        <v>23</v>
      </c>
      <c r="F12" s="2" t="s">
        <v>34</v>
      </c>
      <c r="G12" s="2">
        <v>4</v>
      </c>
      <c r="H12" s="2">
        <v>1678</v>
      </c>
      <c r="I12" s="2">
        <f t="shared" si="5"/>
        <v>6712</v>
      </c>
      <c r="J12" s="2" t="s">
        <v>20</v>
      </c>
      <c r="K12" s="2" t="s">
        <v>32</v>
      </c>
      <c r="L12" s="2" t="s">
        <v>28</v>
      </c>
      <c r="M12" s="2" t="s">
        <v>18</v>
      </c>
      <c r="N12" s="2" t="s">
        <v>29</v>
      </c>
      <c r="O12" s="3">
        <v>46035</v>
      </c>
      <c r="P12" t="str">
        <f t="shared" si="0"/>
        <v>Low Value</v>
      </c>
      <c r="Q12">
        <f t="shared" si="1"/>
        <v>1</v>
      </c>
      <c r="R12">
        <f t="shared" si="2"/>
        <v>1</v>
      </c>
      <c r="S12">
        <f t="shared" si="3"/>
        <v>2</v>
      </c>
      <c r="T12">
        <f t="shared" si="6"/>
        <v>4</v>
      </c>
    </row>
    <row r="13" spans="1:20" ht="27.6" x14ac:dyDescent="0.25">
      <c r="A13" s="2" t="str">
        <f t="shared" si="4"/>
        <v>C012</v>
      </c>
      <c r="B13" s="2">
        <v>33</v>
      </c>
      <c r="C13" s="2" t="s">
        <v>24</v>
      </c>
      <c r="D13" s="2" t="s">
        <v>17</v>
      </c>
      <c r="E13" s="2" t="s">
        <v>18</v>
      </c>
      <c r="F13" s="2" t="s">
        <v>40</v>
      </c>
      <c r="G13" s="2">
        <v>13</v>
      </c>
      <c r="H13" s="2">
        <v>3542</v>
      </c>
      <c r="I13" s="2">
        <f t="shared" si="5"/>
        <v>46046</v>
      </c>
      <c r="J13" s="2" t="s">
        <v>27</v>
      </c>
      <c r="K13" s="2" t="s">
        <v>32</v>
      </c>
      <c r="L13" s="2" t="s">
        <v>22</v>
      </c>
      <c r="M13" s="2" t="s">
        <v>23</v>
      </c>
      <c r="N13" s="2" t="s">
        <v>29</v>
      </c>
      <c r="O13" s="3">
        <v>46036</v>
      </c>
      <c r="P13" t="str">
        <f t="shared" si="0"/>
        <v>Premium</v>
      </c>
      <c r="Q13">
        <f t="shared" si="1"/>
        <v>2</v>
      </c>
      <c r="R13">
        <f t="shared" si="2"/>
        <v>3</v>
      </c>
      <c r="S13">
        <f t="shared" si="3"/>
        <v>3</v>
      </c>
      <c r="T13">
        <f t="shared" si="6"/>
        <v>8</v>
      </c>
    </row>
    <row r="14" spans="1:20" ht="13.8" x14ac:dyDescent="0.25">
      <c r="A14" s="2" t="str">
        <f t="shared" si="4"/>
        <v>C013</v>
      </c>
      <c r="B14" s="2">
        <v>41</v>
      </c>
      <c r="C14" s="2" t="s">
        <v>16</v>
      </c>
      <c r="D14" s="2" t="s">
        <v>30</v>
      </c>
      <c r="E14" s="2" t="s">
        <v>23</v>
      </c>
      <c r="F14" s="2" t="s">
        <v>37</v>
      </c>
      <c r="G14" s="2">
        <v>14</v>
      </c>
      <c r="H14" s="2">
        <v>1324</v>
      </c>
      <c r="I14" s="2">
        <f t="shared" si="5"/>
        <v>18536</v>
      </c>
      <c r="J14" s="2" t="s">
        <v>35</v>
      </c>
      <c r="K14" s="2" t="s">
        <v>21</v>
      </c>
      <c r="L14" s="2" t="s">
        <v>28</v>
      </c>
      <c r="M14" s="2" t="s">
        <v>18</v>
      </c>
      <c r="N14" s="2" t="s">
        <v>18</v>
      </c>
      <c r="O14" s="3">
        <v>46037</v>
      </c>
      <c r="P14" t="str">
        <f t="shared" si="0"/>
        <v>Regular</v>
      </c>
      <c r="Q14">
        <f t="shared" si="1"/>
        <v>2</v>
      </c>
      <c r="R14">
        <f t="shared" si="2"/>
        <v>2</v>
      </c>
      <c r="S14">
        <f t="shared" si="3"/>
        <v>2</v>
      </c>
      <c r="T14">
        <f t="shared" si="6"/>
        <v>6</v>
      </c>
    </row>
    <row r="15" spans="1:20" ht="13.8" x14ac:dyDescent="0.25">
      <c r="A15" s="2" t="str">
        <f t="shared" si="4"/>
        <v>C014</v>
      </c>
      <c r="B15" s="2">
        <v>24</v>
      </c>
      <c r="C15" s="2" t="s">
        <v>24</v>
      </c>
      <c r="D15" s="2" t="s">
        <v>25</v>
      </c>
      <c r="E15" s="2" t="s">
        <v>18</v>
      </c>
      <c r="F15" s="2" t="s">
        <v>38</v>
      </c>
      <c r="G15" s="2">
        <v>17</v>
      </c>
      <c r="H15" s="2">
        <v>4325</v>
      </c>
      <c r="I15" s="2">
        <f t="shared" si="5"/>
        <v>73525</v>
      </c>
      <c r="J15" s="2" t="s">
        <v>20</v>
      </c>
      <c r="K15" s="2" t="s">
        <v>32</v>
      </c>
      <c r="L15" s="2" t="s">
        <v>22</v>
      </c>
      <c r="M15" s="2" t="s">
        <v>23</v>
      </c>
      <c r="N15" s="2" t="s">
        <v>23</v>
      </c>
      <c r="O15" s="3">
        <v>46038</v>
      </c>
      <c r="P15" t="str">
        <f t="shared" si="0"/>
        <v>Premium</v>
      </c>
      <c r="Q15">
        <f t="shared" si="1"/>
        <v>3</v>
      </c>
      <c r="R15">
        <f t="shared" si="2"/>
        <v>3</v>
      </c>
      <c r="S15">
        <f t="shared" si="3"/>
        <v>3</v>
      </c>
      <c r="T15">
        <f t="shared" si="6"/>
        <v>9</v>
      </c>
    </row>
    <row r="16" spans="1:20" ht="27.6" x14ac:dyDescent="0.25">
      <c r="A16" s="2" t="str">
        <f t="shared" si="4"/>
        <v>C015</v>
      </c>
      <c r="B16" s="2">
        <v>44</v>
      </c>
      <c r="C16" s="2" t="s">
        <v>16</v>
      </c>
      <c r="D16" s="2" t="s">
        <v>17</v>
      </c>
      <c r="E16" s="2" t="s">
        <v>23</v>
      </c>
      <c r="F16" s="2" t="s">
        <v>37</v>
      </c>
      <c r="G16" s="2">
        <v>20</v>
      </c>
      <c r="H16" s="2">
        <v>4568</v>
      </c>
      <c r="I16" s="2">
        <f t="shared" si="5"/>
        <v>91360</v>
      </c>
      <c r="J16" s="2" t="s">
        <v>27</v>
      </c>
      <c r="K16" s="2" t="s">
        <v>21</v>
      </c>
      <c r="L16" s="2" t="s">
        <v>28</v>
      </c>
      <c r="M16" s="2" t="s">
        <v>18</v>
      </c>
      <c r="N16" s="2" t="s">
        <v>18</v>
      </c>
      <c r="O16" s="3">
        <v>46039</v>
      </c>
      <c r="P16" t="str">
        <f t="shared" si="0"/>
        <v>Premium</v>
      </c>
      <c r="Q16">
        <f t="shared" si="1"/>
        <v>3</v>
      </c>
      <c r="R16">
        <f t="shared" si="2"/>
        <v>3</v>
      </c>
      <c r="S16">
        <f t="shared" si="3"/>
        <v>2</v>
      </c>
      <c r="T16">
        <f t="shared" si="6"/>
        <v>8</v>
      </c>
    </row>
    <row r="17" spans="1:20" ht="13.8" x14ac:dyDescent="0.25">
      <c r="A17" s="2" t="str">
        <f t="shared" si="4"/>
        <v>C016</v>
      </c>
      <c r="B17" s="2">
        <v>31</v>
      </c>
      <c r="C17" s="2" t="s">
        <v>24</v>
      </c>
      <c r="D17" s="2" t="s">
        <v>30</v>
      </c>
      <c r="E17" s="2" t="s">
        <v>18</v>
      </c>
      <c r="F17" s="2" t="s">
        <v>26</v>
      </c>
      <c r="G17" s="2">
        <v>18</v>
      </c>
      <c r="H17" s="2">
        <v>2136</v>
      </c>
      <c r="I17" s="2">
        <f t="shared" si="5"/>
        <v>38448</v>
      </c>
      <c r="J17" s="2" t="s">
        <v>41</v>
      </c>
      <c r="K17" s="2" t="s">
        <v>32</v>
      </c>
      <c r="L17" s="2" t="s">
        <v>22</v>
      </c>
      <c r="M17" s="2" t="s">
        <v>23</v>
      </c>
      <c r="N17" s="2" t="s">
        <v>29</v>
      </c>
      <c r="O17" s="3">
        <v>46040</v>
      </c>
      <c r="P17" t="str">
        <f t="shared" si="0"/>
        <v>Premium</v>
      </c>
      <c r="Q17">
        <f t="shared" si="1"/>
        <v>3</v>
      </c>
      <c r="R17">
        <f t="shared" si="2"/>
        <v>2</v>
      </c>
      <c r="S17">
        <f t="shared" si="3"/>
        <v>3</v>
      </c>
      <c r="T17">
        <f t="shared" si="6"/>
        <v>8</v>
      </c>
    </row>
    <row r="18" spans="1:20" ht="27.6" x14ac:dyDescent="0.25">
      <c r="A18" s="2" t="str">
        <f t="shared" si="4"/>
        <v>C017</v>
      </c>
      <c r="B18" s="2">
        <v>22</v>
      </c>
      <c r="C18" s="2" t="s">
        <v>16</v>
      </c>
      <c r="D18" s="2" t="s">
        <v>17</v>
      </c>
      <c r="F18" s="2" t="s">
        <v>19</v>
      </c>
      <c r="G18" s="2">
        <v>13</v>
      </c>
      <c r="H18" s="2">
        <v>2639</v>
      </c>
      <c r="I18" s="2">
        <f t="shared" si="5"/>
        <v>34307</v>
      </c>
      <c r="J18" s="2" t="s">
        <v>35</v>
      </c>
      <c r="K18" s="2" t="s">
        <v>21</v>
      </c>
      <c r="L18" s="2" t="s">
        <v>28</v>
      </c>
      <c r="M18" s="2" t="s">
        <v>18</v>
      </c>
      <c r="N18" s="2" t="s">
        <v>18</v>
      </c>
      <c r="O18" s="3">
        <v>46041</v>
      </c>
      <c r="P18" t="str">
        <f t="shared" si="0"/>
        <v>Regular</v>
      </c>
      <c r="Q18">
        <f t="shared" si="1"/>
        <v>2</v>
      </c>
      <c r="R18">
        <f t="shared" si="2"/>
        <v>2</v>
      </c>
      <c r="S18">
        <f t="shared" si="3"/>
        <v>2</v>
      </c>
      <c r="T18">
        <f t="shared" si="6"/>
        <v>6</v>
      </c>
    </row>
    <row r="19" spans="1:20" ht="13.8" x14ac:dyDescent="0.25">
      <c r="A19" s="2" t="str">
        <f t="shared" si="4"/>
        <v>C018</v>
      </c>
      <c r="B19" s="2">
        <v>39</v>
      </c>
      <c r="C19" s="2" t="s">
        <v>24</v>
      </c>
      <c r="D19" s="2" t="s">
        <v>36</v>
      </c>
      <c r="E19" s="2" t="s">
        <v>23</v>
      </c>
      <c r="F19" s="2" t="s">
        <v>34</v>
      </c>
      <c r="G19" s="2">
        <v>3</v>
      </c>
      <c r="H19" s="2">
        <v>3458</v>
      </c>
      <c r="I19" s="2">
        <f t="shared" si="5"/>
        <v>10374</v>
      </c>
      <c r="J19" s="2" t="s">
        <v>27</v>
      </c>
      <c r="K19" s="2" t="s">
        <v>32</v>
      </c>
      <c r="L19" s="2" t="s">
        <v>22</v>
      </c>
      <c r="M19" s="2" t="s">
        <v>23</v>
      </c>
      <c r="N19" s="2" t="s">
        <v>29</v>
      </c>
      <c r="O19" s="3">
        <v>46042</v>
      </c>
      <c r="P19" t="str">
        <f t="shared" si="0"/>
        <v>Regular</v>
      </c>
      <c r="Q19">
        <f t="shared" si="1"/>
        <v>1</v>
      </c>
      <c r="R19">
        <f t="shared" si="2"/>
        <v>1</v>
      </c>
      <c r="S19">
        <f t="shared" si="3"/>
        <v>3</v>
      </c>
      <c r="T19">
        <f t="shared" si="6"/>
        <v>5</v>
      </c>
    </row>
    <row r="20" spans="1:20" ht="13.8" x14ac:dyDescent="0.25">
      <c r="A20" s="2" t="str">
        <f t="shared" si="4"/>
        <v>C019</v>
      </c>
      <c r="B20" s="2">
        <v>28</v>
      </c>
      <c r="C20" s="2" t="s">
        <v>16</v>
      </c>
      <c r="D20" s="2" t="s">
        <v>33</v>
      </c>
      <c r="E20" s="2" t="s">
        <v>18</v>
      </c>
      <c r="F20" s="2" t="s">
        <v>26</v>
      </c>
      <c r="G20" s="2">
        <v>4</v>
      </c>
      <c r="H20" s="2">
        <v>2456</v>
      </c>
      <c r="I20" s="2">
        <f t="shared" si="5"/>
        <v>9824</v>
      </c>
      <c r="J20" s="2" t="s">
        <v>20</v>
      </c>
      <c r="K20" s="2" t="s">
        <v>21</v>
      </c>
      <c r="L20" s="2" t="s">
        <v>28</v>
      </c>
      <c r="M20" s="2" t="s">
        <v>18</v>
      </c>
      <c r="N20" s="2" t="s">
        <v>23</v>
      </c>
      <c r="O20" s="3">
        <v>46043</v>
      </c>
      <c r="P20" t="str">
        <f t="shared" si="0"/>
        <v>Low Value</v>
      </c>
      <c r="Q20">
        <f t="shared" si="1"/>
        <v>1</v>
      </c>
      <c r="R20">
        <f t="shared" si="2"/>
        <v>1</v>
      </c>
      <c r="S20">
        <f t="shared" si="3"/>
        <v>2</v>
      </c>
      <c r="T20">
        <f t="shared" si="6"/>
        <v>4</v>
      </c>
    </row>
    <row r="21" spans="1:20" ht="13.8" x14ac:dyDescent="0.25">
      <c r="A21" s="2" t="str">
        <f t="shared" si="4"/>
        <v>C020</v>
      </c>
      <c r="B21" s="2">
        <v>30</v>
      </c>
      <c r="C21" s="2" t="s">
        <v>24</v>
      </c>
      <c r="D21" s="2" t="s">
        <v>25</v>
      </c>
      <c r="E21" s="2" t="s">
        <v>18</v>
      </c>
      <c r="F21" s="2" t="s">
        <v>37</v>
      </c>
      <c r="G21" s="2">
        <v>5</v>
      </c>
      <c r="H21" s="2">
        <v>3236</v>
      </c>
      <c r="I21" s="2">
        <f t="shared" si="5"/>
        <v>16180</v>
      </c>
      <c r="J21" s="2" t="s">
        <v>35</v>
      </c>
      <c r="K21" s="2" t="s">
        <v>32</v>
      </c>
      <c r="L21" s="2" t="s">
        <v>28</v>
      </c>
      <c r="M21" s="2" t="s">
        <v>23</v>
      </c>
      <c r="N21" s="2" t="s">
        <v>18</v>
      </c>
      <c r="O21" s="3">
        <v>46044</v>
      </c>
      <c r="P21" t="str">
        <f t="shared" si="0"/>
        <v>Regular</v>
      </c>
      <c r="Q21">
        <f t="shared" si="1"/>
        <v>1</v>
      </c>
      <c r="R21">
        <f t="shared" si="2"/>
        <v>2</v>
      </c>
      <c r="S21">
        <f t="shared" si="3"/>
        <v>3</v>
      </c>
      <c r="T21">
        <f t="shared" si="6"/>
        <v>6</v>
      </c>
    </row>
    <row r="22" spans="1:20" ht="13.8" x14ac:dyDescent="0.25">
      <c r="A22" s="2" t="str">
        <f t="shared" si="4"/>
        <v>C021</v>
      </c>
      <c r="B22" s="2">
        <v>20</v>
      </c>
      <c r="C22" s="2" t="s">
        <v>16</v>
      </c>
      <c r="D22" s="2" t="s">
        <v>36</v>
      </c>
      <c r="E22" s="2" t="s">
        <v>23</v>
      </c>
      <c r="F22" s="2" t="s">
        <v>38</v>
      </c>
      <c r="G22" s="2">
        <v>16</v>
      </c>
      <c r="H22" s="2">
        <v>4563</v>
      </c>
      <c r="I22" s="2">
        <f t="shared" si="5"/>
        <v>73008</v>
      </c>
      <c r="J22" s="2" t="s">
        <v>41</v>
      </c>
      <c r="K22" s="2" t="s">
        <v>21</v>
      </c>
      <c r="L22" s="2" t="s">
        <v>22</v>
      </c>
      <c r="M22" s="2" t="s">
        <v>18</v>
      </c>
      <c r="N22" s="2" t="s">
        <v>29</v>
      </c>
      <c r="O22" s="3">
        <v>46045</v>
      </c>
      <c r="P22" t="str">
        <f t="shared" si="0"/>
        <v>Premium</v>
      </c>
      <c r="Q22">
        <f t="shared" si="1"/>
        <v>3</v>
      </c>
      <c r="R22">
        <f t="shared" si="2"/>
        <v>3</v>
      </c>
      <c r="S22">
        <f t="shared" si="3"/>
        <v>2</v>
      </c>
      <c r="T22">
        <f t="shared" si="6"/>
        <v>8</v>
      </c>
    </row>
    <row r="23" spans="1:20" ht="13.8" x14ac:dyDescent="0.25">
      <c r="A23" s="2" t="str">
        <f t="shared" si="4"/>
        <v>C022</v>
      </c>
      <c r="B23" s="2">
        <v>28</v>
      </c>
      <c r="C23" s="2" t="s">
        <v>24</v>
      </c>
      <c r="D23" s="2" t="s">
        <v>30</v>
      </c>
      <c r="E23" s="2" t="s">
        <v>23</v>
      </c>
      <c r="F23" s="2" t="s">
        <v>19</v>
      </c>
      <c r="G23" s="2">
        <v>18</v>
      </c>
      <c r="H23" s="2">
        <v>2345</v>
      </c>
      <c r="I23" s="2">
        <f t="shared" si="5"/>
        <v>42210</v>
      </c>
      <c r="J23" s="2" t="s">
        <v>35</v>
      </c>
      <c r="K23" s="2" t="s">
        <v>32</v>
      </c>
      <c r="L23" s="2" t="s">
        <v>28</v>
      </c>
      <c r="M23" s="2" t="s">
        <v>23</v>
      </c>
      <c r="N23" s="2" t="s">
        <v>23</v>
      </c>
      <c r="O23" s="3">
        <v>46046</v>
      </c>
      <c r="P23" t="str">
        <f t="shared" si="0"/>
        <v>Premium</v>
      </c>
      <c r="Q23">
        <f t="shared" si="1"/>
        <v>3</v>
      </c>
      <c r="R23">
        <f t="shared" si="2"/>
        <v>3</v>
      </c>
      <c r="S23">
        <f t="shared" si="3"/>
        <v>3</v>
      </c>
      <c r="T23">
        <f t="shared" si="6"/>
        <v>9</v>
      </c>
    </row>
    <row r="24" spans="1:20" ht="27.6" x14ac:dyDescent="0.25">
      <c r="A24" s="2" t="str">
        <f t="shared" si="4"/>
        <v>C023</v>
      </c>
      <c r="B24" s="2">
        <v>37</v>
      </c>
      <c r="C24" s="2" t="s">
        <v>16</v>
      </c>
      <c r="D24" s="2" t="s">
        <v>17</v>
      </c>
      <c r="E24" s="2" t="s">
        <v>18</v>
      </c>
      <c r="F24" s="2" t="s">
        <v>31</v>
      </c>
      <c r="G24" s="2">
        <v>14</v>
      </c>
      <c r="H24" s="2">
        <v>1324</v>
      </c>
      <c r="I24" s="2">
        <f t="shared" si="5"/>
        <v>18536</v>
      </c>
      <c r="J24" s="2" t="s">
        <v>20</v>
      </c>
      <c r="K24" s="2" t="s">
        <v>32</v>
      </c>
      <c r="L24" t="s">
        <v>22</v>
      </c>
      <c r="M24" s="2" t="s">
        <v>18</v>
      </c>
      <c r="N24" s="2" t="s">
        <v>18</v>
      </c>
      <c r="O24" s="3">
        <v>46047</v>
      </c>
      <c r="P24" t="str">
        <f t="shared" si="0"/>
        <v>Regular</v>
      </c>
      <c r="Q24">
        <f t="shared" si="1"/>
        <v>2</v>
      </c>
      <c r="R24">
        <f t="shared" si="2"/>
        <v>2</v>
      </c>
      <c r="S24">
        <f t="shared" si="3"/>
        <v>2</v>
      </c>
      <c r="T24">
        <f t="shared" si="6"/>
        <v>6</v>
      </c>
    </row>
    <row r="25" spans="1:20" ht="27.6" x14ac:dyDescent="0.25">
      <c r="A25" s="2" t="str">
        <f t="shared" si="4"/>
        <v>C024</v>
      </c>
      <c r="B25" s="2">
        <v>48</v>
      </c>
      <c r="C25" s="2" t="s">
        <v>24</v>
      </c>
      <c r="D25" s="2" t="s">
        <v>17</v>
      </c>
      <c r="E25" s="2" t="s">
        <v>23</v>
      </c>
      <c r="F25" s="2" t="s">
        <v>31</v>
      </c>
      <c r="G25" s="2">
        <v>15</v>
      </c>
      <c r="H25" s="2">
        <v>3465</v>
      </c>
      <c r="I25" s="2">
        <f t="shared" si="5"/>
        <v>51975</v>
      </c>
      <c r="J25" s="2" t="s">
        <v>41</v>
      </c>
      <c r="K25" s="2" t="s">
        <v>21</v>
      </c>
      <c r="L25" s="2" t="s">
        <v>22</v>
      </c>
      <c r="M25" s="2" t="s">
        <v>23</v>
      </c>
      <c r="N25" s="2" t="s">
        <v>29</v>
      </c>
      <c r="O25" s="3">
        <v>46048</v>
      </c>
      <c r="P25" t="str">
        <f t="shared" si="0"/>
        <v>Premium</v>
      </c>
      <c r="Q25">
        <f t="shared" si="1"/>
        <v>3</v>
      </c>
      <c r="R25">
        <f t="shared" si="2"/>
        <v>3</v>
      </c>
      <c r="S25">
        <f t="shared" si="3"/>
        <v>3</v>
      </c>
      <c r="T25">
        <f t="shared" si="6"/>
        <v>9</v>
      </c>
    </row>
    <row r="26" spans="1:20" ht="13.8" x14ac:dyDescent="0.25">
      <c r="A26" s="2" t="str">
        <f t="shared" si="4"/>
        <v>C025</v>
      </c>
      <c r="B26" s="2">
        <v>45</v>
      </c>
      <c r="C26" s="2" t="s">
        <v>16</v>
      </c>
      <c r="D26" s="2" t="s">
        <v>30</v>
      </c>
      <c r="E26" s="2" t="s">
        <v>18</v>
      </c>
      <c r="F26" s="2" t="s">
        <v>38</v>
      </c>
      <c r="G26" s="2">
        <v>6</v>
      </c>
      <c r="H26" s="2">
        <v>4325</v>
      </c>
      <c r="I26" s="2">
        <f t="shared" si="5"/>
        <v>25950</v>
      </c>
      <c r="J26" s="2" t="s">
        <v>27</v>
      </c>
      <c r="K26" s="2" t="s">
        <v>32</v>
      </c>
      <c r="L26" t="s">
        <v>22</v>
      </c>
      <c r="M26" s="2" t="s">
        <v>18</v>
      </c>
      <c r="N26" s="2" t="s">
        <v>29</v>
      </c>
      <c r="O26" s="3">
        <v>46049</v>
      </c>
      <c r="P26" t="str">
        <f t="shared" si="0"/>
        <v>Regular</v>
      </c>
      <c r="Q26">
        <f t="shared" si="1"/>
        <v>1</v>
      </c>
      <c r="R26">
        <f t="shared" si="2"/>
        <v>2</v>
      </c>
      <c r="S26">
        <f t="shared" si="3"/>
        <v>2</v>
      </c>
      <c r="T26">
        <f t="shared" si="6"/>
        <v>5</v>
      </c>
    </row>
    <row r="27" spans="1:20" ht="13.8" x14ac:dyDescent="0.25">
      <c r="A27" s="2" t="str">
        <f t="shared" si="4"/>
        <v>C026</v>
      </c>
      <c r="B27" s="2">
        <v>35</v>
      </c>
      <c r="C27" s="2" t="s">
        <v>24</v>
      </c>
      <c r="D27" s="2" t="s">
        <v>33</v>
      </c>
      <c r="E27" s="2" t="s">
        <v>23</v>
      </c>
      <c r="F27" s="2" t="s">
        <v>34</v>
      </c>
      <c r="G27" s="2">
        <v>8</v>
      </c>
      <c r="H27" s="2">
        <v>3452</v>
      </c>
      <c r="I27" s="2">
        <f t="shared" si="5"/>
        <v>27616</v>
      </c>
      <c r="J27" s="2" t="s">
        <v>20</v>
      </c>
      <c r="K27" s="2" t="s">
        <v>21</v>
      </c>
      <c r="L27" s="2" t="s">
        <v>28</v>
      </c>
      <c r="M27" s="2" t="s">
        <v>23</v>
      </c>
      <c r="N27" s="2" t="s">
        <v>18</v>
      </c>
      <c r="O27" s="3">
        <v>46050</v>
      </c>
      <c r="P27" t="str">
        <f t="shared" si="0"/>
        <v>Regular</v>
      </c>
      <c r="Q27">
        <f t="shared" si="1"/>
        <v>2</v>
      </c>
      <c r="R27">
        <f t="shared" si="2"/>
        <v>2</v>
      </c>
      <c r="S27">
        <f t="shared" si="3"/>
        <v>3</v>
      </c>
      <c r="T27">
        <f t="shared" si="6"/>
        <v>7</v>
      </c>
    </row>
    <row r="28" spans="1:20" ht="13.8" x14ac:dyDescent="0.25">
      <c r="A28" s="2" t="str">
        <f t="shared" si="4"/>
        <v>C027</v>
      </c>
      <c r="B28" s="2">
        <v>36</v>
      </c>
      <c r="C28" s="2" t="s">
        <v>16</v>
      </c>
      <c r="D28" s="2" t="s">
        <v>25</v>
      </c>
      <c r="E28" s="2" t="s">
        <v>18</v>
      </c>
      <c r="F28" s="2" t="s">
        <v>37</v>
      </c>
      <c r="G28" s="2">
        <v>9</v>
      </c>
      <c r="H28" s="2">
        <v>3123</v>
      </c>
      <c r="I28" s="2">
        <f t="shared" si="5"/>
        <v>28107</v>
      </c>
      <c r="J28" s="2" t="s">
        <v>41</v>
      </c>
      <c r="K28" s="2" t="s">
        <v>32</v>
      </c>
      <c r="L28" t="s">
        <v>28</v>
      </c>
      <c r="M28" s="2" t="s">
        <v>18</v>
      </c>
      <c r="N28" s="2" t="s">
        <v>23</v>
      </c>
      <c r="O28" s="3">
        <v>46051</v>
      </c>
      <c r="P28" t="str">
        <f t="shared" si="0"/>
        <v>Regular</v>
      </c>
      <c r="Q28">
        <f t="shared" si="1"/>
        <v>2</v>
      </c>
      <c r="R28">
        <f t="shared" si="2"/>
        <v>2</v>
      </c>
      <c r="S28">
        <f t="shared" si="3"/>
        <v>2</v>
      </c>
      <c r="T28">
        <f t="shared" si="6"/>
        <v>6</v>
      </c>
    </row>
    <row r="29" spans="1:20" ht="13.8" x14ac:dyDescent="0.25">
      <c r="A29" s="2" t="str">
        <f t="shared" si="4"/>
        <v>C028</v>
      </c>
      <c r="B29" s="2">
        <v>26</v>
      </c>
      <c r="C29" s="2" t="s">
        <v>24</v>
      </c>
      <c r="D29" s="2" t="s">
        <v>36</v>
      </c>
      <c r="E29" s="2" t="s">
        <v>23</v>
      </c>
      <c r="F29" s="2" t="s">
        <v>26</v>
      </c>
      <c r="G29" s="2">
        <v>1</v>
      </c>
      <c r="H29" s="2">
        <v>3325</v>
      </c>
      <c r="I29" s="2">
        <f t="shared" si="5"/>
        <v>3325</v>
      </c>
      <c r="J29" s="2" t="s">
        <v>35</v>
      </c>
      <c r="K29" s="2" t="s">
        <v>21</v>
      </c>
      <c r="L29" s="2" t="s">
        <v>28</v>
      </c>
      <c r="M29" s="2" t="s">
        <v>23</v>
      </c>
      <c r="N29" s="2" t="s">
        <v>18</v>
      </c>
      <c r="O29" s="3">
        <v>46052</v>
      </c>
      <c r="P29" t="str">
        <f t="shared" si="0"/>
        <v>Regular</v>
      </c>
      <c r="Q29">
        <f t="shared" si="1"/>
        <v>1</v>
      </c>
      <c r="R29">
        <f t="shared" si="2"/>
        <v>1</v>
      </c>
      <c r="S29">
        <f t="shared" si="3"/>
        <v>3</v>
      </c>
      <c r="T29">
        <f t="shared" si="6"/>
        <v>5</v>
      </c>
    </row>
    <row r="30" spans="1:20" ht="13.8" x14ac:dyDescent="0.25">
      <c r="A30" s="2" t="str">
        <f t="shared" si="4"/>
        <v>C029</v>
      </c>
      <c r="B30" s="2">
        <v>36</v>
      </c>
      <c r="C30" s="2" t="s">
        <v>24</v>
      </c>
      <c r="D30" s="2" t="s">
        <v>33</v>
      </c>
      <c r="E30" s="2" t="s">
        <v>23</v>
      </c>
      <c r="F30" s="2" t="s">
        <v>19</v>
      </c>
      <c r="G30" s="2">
        <v>20</v>
      </c>
      <c r="H30" s="2">
        <v>3679</v>
      </c>
      <c r="I30" s="2">
        <f t="shared" si="5"/>
        <v>73580</v>
      </c>
      <c r="J30" s="2" t="s">
        <v>27</v>
      </c>
      <c r="K30" s="2" t="s">
        <v>32</v>
      </c>
      <c r="L30" t="s">
        <v>22</v>
      </c>
      <c r="M30" s="2" t="s">
        <v>18</v>
      </c>
      <c r="N30" s="2" t="s">
        <v>29</v>
      </c>
      <c r="O30" s="3">
        <v>46053</v>
      </c>
      <c r="P30" t="str">
        <f t="shared" si="0"/>
        <v>Premium</v>
      </c>
      <c r="Q30">
        <f t="shared" si="1"/>
        <v>3</v>
      </c>
      <c r="R30">
        <f t="shared" si="2"/>
        <v>3</v>
      </c>
      <c r="S30">
        <f t="shared" si="3"/>
        <v>2</v>
      </c>
      <c r="T30">
        <f t="shared" si="6"/>
        <v>8</v>
      </c>
    </row>
    <row r="31" spans="1:20" ht="13.8" x14ac:dyDescent="0.25">
      <c r="A31" s="2" t="str">
        <f t="shared" si="4"/>
        <v>C030</v>
      </c>
      <c r="B31" s="2">
        <v>48</v>
      </c>
      <c r="C31" s="2" t="s">
        <v>16</v>
      </c>
      <c r="D31" s="2" t="s">
        <v>30</v>
      </c>
      <c r="E31" s="2" t="s">
        <v>18</v>
      </c>
      <c r="F31" s="2" t="s">
        <v>38</v>
      </c>
      <c r="G31" s="2">
        <v>19</v>
      </c>
      <c r="H31" s="2">
        <v>2890</v>
      </c>
      <c r="I31" s="2">
        <f t="shared" si="5"/>
        <v>54910</v>
      </c>
      <c r="J31" s="2" t="s">
        <v>20</v>
      </c>
      <c r="K31" s="2" t="s">
        <v>21</v>
      </c>
      <c r="L31" s="2" t="s">
        <v>28</v>
      </c>
      <c r="M31" s="2" t="s">
        <v>23</v>
      </c>
      <c r="N31" s="2" t="s">
        <v>29</v>
      </c>
      <c r="O31" s="3">
        <v>46054</v>
      </c>
      <c r="P31" t="str">
        <f t="shared" si="0"/>
        <v>Premium</v>
      </c>
      <c r="Q31">
        <f t="shared" si="1"/>
        <v>3</v>
      </c>
      <c r="R31">
        <f t="shared" si="2"/>
        <v>3</v>
      </c>
      <c r="S31">
        <f t="shared" si="3"/>
        <v>3</v>
      </c>
      <c r="T31">
        <f t="shared" si="6"/>
        <v>9</v>
      </c>
    </row>
    <row r="32" spans="1:20" ht="27.6" x14ac:dyDescent="0.25">
      <c r="A32" s="2" t="str">
        <f t="shared" si="4"/>
        <v>C031</v>
      </c>
      <c r="B32" s="2">
        <v>49</v>
      </c>
      <c r="C32" s="2" t="s">
        <v>24</v>
      </c>
      <c r="D32" s="2" t="s">
        <v>17</v>
      </c>
      <c r="E32" s="2" t="s">
        <v>23</v>
      </c>
      <c r="F32" s="2" t="s">
        <v>34</v>
      </c>
      <c r="G32" s="2">
        <v>18</v>
      </c>
      <c r="H32" s="2">
        <v>1345</v>
      </c>
      <c r="I32" s="2">
        <f>G32*H32</f>
        <v>24210</v>
      </c>
      <c r="J32" s="2" t="s">
        <v>41</v>
      </c>
      <c r="K32" s="2" t="s">
        <v>32</v>
      </c>
      <c r="L32" t="s">
        <v>22</v>
      </c>
      <c r="M32" s="2" t="s">
        <v>18</v>
      </c>
      <c r="N32" s="2" t="s">
        <v>18</v>
      </c>
      <c r="O32" s="3">
        <v>46055</v>
      </c>
      <c r="P32" t="str">
        <f t="shared" si="0"/>
        <v>Regular</v>
      </c>
      <c r="Q32">
        <f t="shared" si="1"/>
        <v>3</v>
      </c>
      <c r="R32">
        <f t="shared" si="2"/>
        <v>2</v>
      </c>
      <c r="S32">
        <f t="shared" si="3"/>
        <v>2</v>
      </c>
      <c r="T32">
        <f t="shared" si="6"/>
        <v>7</v>
      </c>
    </row>
    <row r="33" spans="1:20" ht="13.8" x14ac:dyDescent="0.25">
      <c r="A33" s="2" t="str">
        <f t="shared" si="4"/>
        <v>C032</v>
      </c>
      <c r="B33" s="2">
        <v>36</v>
      </c>
      <c r="C33" s="2" t="s">
        <v>16</v>
      </c>
      <c r="D33" s="2" t="s">
        <v>25</v>
      </c>
      <c r="E33" s="2" t="s">
        <v>18</v>
      </c>
      <c r="F33" s="2" t="s">
        <v>37</v>
      </c>
      <c r="G33" s="2">
        <v>16</v>
      </c>
      <c r="H33" s="2">
        <v>3678</v>
      </c>
      <c r="I33" s="2">
        <f t="shared" si="5"/>
        <v>58848</v>
      </c>
      <c r="J33" s="2" t="s">
        <v>35</v>
      </c>
      <c r="K33" s="2" t="s">
        <v>21</v>
      </c>
      <c r="L33" s="2" t="s">
        <v>28</v>
      </c>
      <c r="M33" s="2" t="s">
        <v>23</v>
      </c>
      <c r="N33" s="2" t="s">
        <v>23</v>
      </c>
      <c r="O33" s="3">
        <v>46056</v>
      </c>
      <c r="P33" t="str">
        <f t="shared" si="0"/>
        <v>Premium</v>
      </c>
      <c r="Q33">
        <f t="shared" si="1"/>
        <v>3</v>
      </c>
      <c r="R33">
        <f t="shared" si="2"/>
        <v>3</v>
      </c>
      <c r="S33">
        <f t="shared" si="3"/>
        <v>3</v>
      </c>
      <c r="T33">
        <f t="shared" si="6"/>
        <v>9</v>
      </c>
    </row>
    <row r="34" spans="1:20" ht="13.8" x14ac:dyDescent="0.25">
      <c r="A34" s="2" t="str">
        <f t="shared" si="4"/>
        <v>C033</v>
      </c>
      <c r="B34" s="2">
        <v>50</v>
      </c>
      <c r="C34" s="2" t="s">
        <v>24</v>
      </c>
      <c r="D34" s="2" t="s">
        <v>33</v>
      </c>
      <c r="E34" s="2" t="s">
        <v>23</v>
      </c>
      <c r="F34" s="2" t="s">
        <v>31</v>
      </c>
      <c r="G34" s="2">
        <v>3</v>
      </c>
      <c r="H34" s="2">
        <v>1478</v>
      </c>
      <c r="I34" s="2">
        <f t="shared" si="5"/>
        <v>4434</v>
      </c>
      <c r="J34" s="2" t="s">
        <v>27</v>
      </c>
      <c r="K34" s="2" t="s">
        <v>32</v>
      </c>
      <c r="L34" t="s">
        <v>22</v>
      </c>
      <c r="M34" s="2" t="s">
        <v>18</v>
      </c>
      <c r="N34" s="2" t="s">
        <v>18</v>
      </c>
      <c r="O34" s="3">
        <v>46057</v>
      </c>
      <c r="P34" t="str">
        <f t="shared" ref="P34:P65" si="7">IF(T34&gt;=8,"Premium",IF(T34&gt;=5,"Regular","Low Value"))</f>
        <v>Low Value</v>
      </c>
      <c r="Q34">
        <f t="shared" ref="Q34:Q65" si="8">IF(G34&gt;=15,3,IF(G34&gt;=8,2,1))</f>
        <v>1</v>
      </c>
      <c r="R34">
        <f t="shared" ref="R34:R65" si="9">IF(I34&gt;=40000,3,IF(I34&gt;=15000,2,1))</f>
        <v>1</v>
      </c>
      <c r="S34">
        <f t="shared" ref="S34:S65" si="10">IF(M34="High",3,IF(M34="Medium",2,1))</f>
        <v>2</v>
      </c>
      <c r="T34">
        <f t="shared" si="6"/>
        <v>4</v>
      </c>
    </row>
    <row r="35" spans="1:20" ht="13.8" x14ac:dyDescent="0.25">
      <c r="A35" s="2" t="str">
        <f t="shared" si="4"/>
        <v>C034</v>
      </c>
      <c r="B35" s="2">
        <v>32</v>
      </c>
      <c r="C35" s="2" t="s">
        <v>16</v>
      </c>
      <c r="D35" s="2" t="s">
        <v>30</v>
      </c>
      <c r="E35" s="2" t="s">
        <v>18</v>
      </c>
      <c r="F35" s="2" t="s">
        <v>26</v>
      </c>
      <c r="G35" s="2">
        <v>8</v>
      </c>
      <c r="H35" s="2">
        <v>3589</v>
      </c>
      <c r="I35" s="2">
        <f t="shared" si="5"/>
        <v>28712</v>
      </c>
      <c r="J35" s="2" t="s">
        <v>42</v>
      </c>
      <c r="K35" s="2" t="s">
        <v>21</v>
      </c>
      <c r="L35" s="2" t="s">
        <v>28</v>
      </c>
      <c r="M35" s="2" t="s">
        <v>23</v>
      </c>
      <c r="N35" s="2" t="s">
        <v>29</v>
      </c>
      <c r="O35" s="3">
        <v>46058</v>
      </c>
      <c r="P35" t="str">
        <f t="shared" si="7"/>
        <v>Regular</v>
      </c>
      <c r="Q35">
        <f t="shared" si="8"/>
        <v>2</v>
      </c>
      <c r="R35">
        <f t="shared" si="9"/>
        <v>2</v>
      </c>
      <c r="S35">
        <f t="shared" si="10"/>
        <v>3</v>
      </c>
      <c r="T35">
        <f t="shared" si="6"/>
        <v>7</v>
      </c>
    </row>
    <row r="36" spans="1:20" ht="13.8" x14ac:dyDescent="0.25">
      <c r="A36" s="2" t="str">
        <f t="shared" si="4"/>
        <v>C035</v>
      </c>
      <c r="B36" s="2">
        <v>37</v>
      </c>
      <c r="C36" s="2" t="s">
        <v>24</v>
      </c>
      <c r="D36" s="2" t="s">
        <v>36</v>
      </c>
      <c r="E36" s="2" t="s">
        <v>23</v>
      </c>
      <c r="F36" s="2" t="s">
        <v>34</v>
      </c>
      <c r="G36" s="2">
        <v>4</v>
      </c>
      <c r="H36" s="2">
        <v>2456</v>
      </c>
      <c r="I36" s="2">
        <f t="shared" si="5"/>
        <v>9824</v>
      </c>
      <c r="J36" s="2" t="s">
        <v>27</v>
      </c>
      <c r="K36" s="2" t="s">
        <v>32</v>
      </c>
      <c r="L36" t="s">
        <v>22</v>
      </c>
      <c r="M36" s="2" t="s">
        <v>18</v>
      </c>
      <c r="N36" s="2" t="s">
        <v>23</v>
      </c>
      <c r="O36" s="3">
        <v>46059</v>
      </c>
      <c r="P36" t="str">
        <f t="shared" si="7"/>
        <v>Low Value</v>
      </c>
      <c r="Q36">
        <f t="shared" si="8"/>
        <v>1</v>
      </c>
      <c r="R36">
        <f t="shared" si="9"/>
        <v>1</v>
      </c>
      <c r="S36">
        <f t="shared" si="10"/>
        <v>2</v>
      </c>
      <c r="T36">
        <f t="shared" si="6"/>
        <v>4</v>
      </c>
    </row>
    <row r="37" spans="1:20" ht="27.6" x14ac:dyDescent="0.25">
      <c r="A37" s="2" t="str">
        <f t="shared" si="4"/>
        <v>C036</v>
      </c>
      <c r="B37" s="2">
        <v>48</v>
      </c>
      <c r="C37" s="2" t="s">
        <v>16</v>
      </c>
      <c r="D37" s="2" t="s">
        <v>17</v>
      </c>
      <c r="E37" s="2" t="s">
        <v>18</v>
      </c>
      <c r="F37" s="2" t="s">
        <v>19</v>
      </c>
      <c r="G37" s="2">
        <v>9</v>
      </c>
      <c r="H37" s="2">
        <v>3479</v>
      </c>
      <c r="I37" s="2">
        <f t="shared" si="5"/>
        <v>31311</v>
      </c>
      <c r="J37" s="2" t="s">
        <v>42</v>
      </c>
      <c r="K37" s="2" t="s">
        <v>21</v>
      </c>
      <c r="L37" s="2" t="s">
        <v>28</v>
      </c>
      <c r="M37" s="2" t="s">
        <v>23</v>
      </c>
      <c r="N37" s="2" t="s">
        <v>18</v>
      </c>
      <c r="O37" s="3">
        <v>46060</v>
      </c>
      <c r="P37" t="str">
        <f t="shared" si="7"/>
        <v>Regular</v>
      </c>
      <c r="Q37">
        <f t="shared" si="8"/>
        <v>2</v>
      </c>
      <c r="R37">
        <f t="shared" si="9"/>
        <v>2</v>
      </c>
      <c r="S37">
        <f t="shared" si="10"/>
        <v>3</v>
      </c>
      <c r="T37">
        <f t="shared" si="6"/>
        <v>7</v>
      </c>
    </row>
    <row r="38" spans="1:20" ht="27.6" x14ac:dyDescent="0.25">
      <c r="A38" s="2" t="str">
        <f t="shared" si="4"/>
        <v>C037</v>
      </c>
      <c r="B38" s="2">
        <v>39</v>
      </c>
      <c r="C38" s="2" t="s">
        <v>16</v>
      </c>
      <c r="D38" s="2" t="s">
        <v>17</v>
      </c>
      <c r="E38" s="2" t="s">
        <v>23</v>
      </c>
      <c r="F38" s="2" t="s">
        <v>37</v>
      </c>
      <c r="G38" s="2">
        <v>3</v>
      </c>
      <c r="H38" s="2">
        <v>1468</v>
      </c>
      <c r="I38" s="2">
        <f t="shared" si="5"/>
        <v>4404</v>
      </c>
      <c r="J38" s="2" t="s">
        <v>20</v>
      </c>
      <c r="K38" s="2" t="s">
        <v>32</v>
      </c>
      <c r="L38" t="s">
        <v>22</v>
      </c>
      <c r="M38" s="2" t="s">
        <v>18</v>
      </c>
      <c r="N38" s="2" t="s">
        <v>29</v>
      </c>
      <c r="O38" s="3">
        <v>46061</v>
      </c>
      <c r="P38" t="str">
        <f t="shared" si="7"/>
        <v>Low Value</v>
      </c>
      <c r="Q38">
        <f t="shared" si="8"/>
        <v>1</v>
      </c>
      <c r="R38">
        <f t="shared" si="9"/>
        <v>1</v>
      </c>
      <c r="S38">
        <f t="shared" si="10"/>
        <v>2</v>
      </c>
      <c r="T38">
        <f t="shared" si="6"/>
        <v>4</v>
      </c>
    </row>
    <row r="39" spans="1:20" ht="13.8" x14ac:dyDescent="0.25">
      <c r="A39" s="2" t="str">
        <f t="shared" si="4"/>
        <v>C038</v>
      </c>
      <c r="B39" s="2">
        <v>26</v>
      </c>
      <c r="C39" s="2" t="s">
        <v>24</v>
      </c>
      <c r="D39" s="2" t="s">
        <v>30</v>
      </c>
      <c r="E39" s="2" t="s">
        <v>23</v>
      </c>
      <c r="F39" s="2" t="s">
        <v>31</v>
      </c>
      <c r="G39" s="2">
        <v>6</v>
      </c>
      <c r="H39" s="2">
        <v>2768</v>
      </c>
      <c r="I39" s="2">
        <f t="shared" si="5"/>
        <v>16608</v>
      </c>
      <c r="J39" s="2" t="s">
        <v>35</v>
      </c>
      <c r="K39" s="2" t="s">
        <v>21</v>
      </c>
      <c r="L39" s="2" t="s">
        <v>28</v>
      </c>
      <c r="M39" s="2" t="s">
        <v>23</v>
      </c>
      <c r="N39" s="2" t="s">
        <v>23</v>
      </c>
      <c r="O39" s="3">
        <v>46062</v>
      </c>
      <c r="P39" t="str">
        <f t="shared" si="7"/>
        <v>Regular</v>
      </c>
      <c r="Q39">
        <f t="shared" si="8"/>
        <v>1</v>
      </c>
      <c r="R39">
        <f t="shared" si="9"/>
        <v>2</v>
      </c>
      <c r="S39">
        <f t="shared" si="10"/>
        <v>3</v>
      </c>
      <c r="T39">
        <f t="shared" si="6"/>
        <v>6</v>
      </c>
    </row>
    <row r="40" spans="1:20" ht="13.8" x14ac:dyDescent="0.25">
      <c r="A40" s="2" t="str">
        <f t="shared" si="4"/>
        <v>C039</v>
      </c>
      <c r="B40" s="2">
        <v>39</v>
      </c>
      <c r="C40" s="2" t="s">
        <v>16</v>
      </c>
      <c r="D40" s="2" t="s">
        <v>36</v>
      </c>
      <c r="E40" s="2" t="s">
        <v>18</v>
      </c>
      <c r="F40" s="2" t="s">
        <v>40</v>
      </c>
      <c r="G40" s="2">
        <v>13</v>
      </c>
      <c r="H40" s="2">
        <v>4789</v>
      </c>
      <c r="I40" s="2">
        <f t="shared" si="5"/>
        <v>62257</v>
      </c>
      <c r="J40" s="2" t="s">
        <v>41</v>
      </c>
      <c r="K40" s="2" t="s">
        <v>32</v>
      </c>
      <c r="L40" t="s">
        <v>22</v>
      </c>
      <c r="M40" s="2" t="s">
        <v>18</v>
      </c>
      <c r="N40" s="2" t="s">
        <v>18</v>
      </c>
      <c r="O40" s="3">
        <v>46063</v>
      </c>
      <c r="P40" t="str">
        <f t="shared" si="7"/>
        <v>Regular</v>
      </c>
      <c r="Q40">
        <f t="shared" si="8"/>
        <v>2</v>
      </c>
      <c r="R40">
        <f t="shared" si="9"/>
        <v>3</v>
      </c>
      <c r="S40">
        <f t="shared" si="10"/>
        <v>2</v>
      </c>
      <c r="T40">
        <f t="shared" si="6"/>
        <v>7</v>
      </c>
    </row>
    <row r="41" spans="1:20" ht="13.8" x14ac:dyDescent="0.25">
      <c r="A41" s="2" t="str">
        <f t="shared" si="4"/>
        <v>C040</v>
      </c>
      <c r="B41" s="2">
        <v>45</v>
      </c>
      <c r="C41" s="2" t="s">
        <v>24</v>
      </c>
      <c r="D41" s="2" t="s">
        <v>33</v>
      </c>
      <c r="E41" s="2" t="s">
        <v>18</v>
      </c>
      <c r="F41" s="2" t="s">
        <v>39</v>
      </c>
      <c r="G41" s="2">
        <v>17</v>
      </c>
      <c r="H41" s="2">
        <v>3567</v>
      </c>
      <c r="I41" s="2">
        <f t="shared" si="5"/>
        <v>60639</v>
      </c>
      <c r="J41" s="2" t="s">
        <v>27</v>
      </c>
      <c r="K41" s="2" t="s">
        <v>21</v>
      </c>
      <c r="L41" s="2" t="s">
        <v>28</v>
      </c>
      <c r="M41" s="2" t="s">
        <v>23</v>
      </c>
      <c r="N41" s="2" t="s">
        <v>29</v>
      </c>
      <c r="O41" s="3">
        <v>46064</v>
      </c>
      <c r="P41" t="str">
        <f t="shared" si="7"/>
        <v>Premium</v>
      </c>
      <c r="Q41">
        <f t="shared" si="8"/>
        <v>3</v>
      </c>
      <c r="R41">
        <f t="shared" si="9"/>
        <v>3</v>
      </c>
      <c r="S41">
        <f t="shared" si="10"/>
        <v>3</v>
      </c>
      <c r="T41">
        <f t="shared" si="6"/>
        <v>9</v>
      </c>
    </row>
    <row r="42" spans="1:20" ht="27.6" x14ac:dyDescent="0.25">
      <c r="A42" s="2" t="str">
        <f t="shared" si="4"/>
        <v>C041</v>
      </c>
      <c r="B42" s="2">
        <v>35</v>
      </c>
      <c r="C42" s="2" t="s">
        <v>16</v>
      </c>
      <c r="D42" s="2" t="s">
        <v>17</v>
      </c>
      <c r="E42" s="2" t="s">
        <v>23</v>
      </c>
      <c r="F42" s="2" t="s">
        <v>40</v>
      </c>
      <c r="G42" s="2">
        <v>18</v>
      </c>
      <c r="H42" s="2">
        <v>4678</v>
      </c>
      <c r="I42" s="2">
        <f t="shared" si="5"/>
        <v>84204</v>
      </c>
      <c r="J42" s="2" t="s">
        <v>42</v>
      </c>
      <c r="K42" s="2" t="s">
        <v>32</v>
      </c>
      <c r="L42" t="s">
        <v>22</v>
      </c>
      <c r="M42" s="2" t="s">
        <v>18</v>
      </c>
      <c r="N42" s="2" t="s">
        <v>23</v>
      </c>
      <c r="O42" s="3">
        <v>46065</v>
      </c>
      <c r="P42" t="str">
        <f t="shared" si="7"/>
        <v>Premium</v>
      </c>
      <c r="Q42">
        <f t="shared" si="8"/>
        <v>3</v>
      </c>
      <c r="R42">
        <f t="shared" si="9"/>
        <v>3</v>
      </c>
      <c r="S42">
        <f t="shared" si="10"/>
        <v>2</v>
      </c>
      <c r="T42">
        <f t="shared" si="6"/>
        <v>8</v>
      </c>
    </row>
    <row r="43" spans="1:20" ht="13.8" x14ac:dyDescent="0.25">
      <c r="A43" s="2" t="str">
        <f t="shared" si="4"/>
        <v>C042</v>
      </c>
      <c r="B43" s="2">
        <v>27</v>
      </c>
      <c r="C43" s="2" t="s">
        <v>24</v>
      </c>
      <c r="D43" s="2" t="s">
        <v>25</v>
      </c>
      <c r="E43" s="2" t="s">
        <v>18</v>
      </c>
      <c r="F43" s="2" t="s">
        <v>39</v>
      </c>
      <c r="G43" s="2">
        <v>20</v>
      </c>
      <c r="H43" s="2">
        <v>4689</v>
      </c>
      <c r="I43" s="2">
        <f t="shared" si="5"/>
        <v>93780</v>
      </c>
      <c r="J43" s="2" t="s">
        <v>35</v>
      </c>
      <c r="K43" s="2" t="s">
        <v>21</v>
      </c>
      <c r="L43" s="2" t="s">
        <v>28</v>
      </c>
      <c r="M43" s="2" t="s">
        <v>23</v>
      </c>
      <c r="N43" s="2" t="s">
        <v>18</v>
      </c>
      <c r="O43" s="3">
        <v>46066</v>
      </c>
      <c r="P43" t="str">
        <f t="shared" si="7"/>
        <v>Premium</v>
      </c>
      <c r="Q43">
        <f t="shared" si="8"/>
        <v>3</v>
      </c>
      <c r="R43">
        <f t="shared" si="9"/>
        <v>3</v>
      </c>
      <c r="S43">
        <f t="shared" si="10"/>
        <v>3</v>
      </c>
      <c r="T43">
        <f t="shared" si="6"/>
        <v>9</v>
      </c>
    </row>
    <row r="44" spans="1:20" ht="13.8" x14ac:dyDescent="0.25">
      <c r="A44" s="2" t="str">
        <f t="shared" si="4"/>
        <v>C043</v>
      </c>
      <c r="B44" s="2">
        <v>37</v>
      </c>
      <c r="C44" s="2" t="s">
        <v>16</v>
      </c>
      <c r="D44" s="2" t="s">
        <v>33</v>
      </c>
      <c r="E44" s="2" t="s">
        <v>23</v>
      </c>
      <c r="F44" s="2" t="s">
        <v>40</v>
      </c>
      <c r="G44" s="2">
        <v>4</v>
      </c>
      <c r="H44" s="2">
        <v>4678</v>
      </c>
      <c r="I44" s="2">
        <f t="shared" si="5"/>
        <v>18712</v>
      </c>
      <c r="J44" s="2" t="s">
        <v>41</v>
      </c>
      <c r="K44" s="2" t="s">
        <v>32</v>
      </c>
      <c r="L44" t="s">
        <v>22</v>
      </c>
      <c r="M44" s="2" t="s">
        <v>18</v>
      </c>
      <c r="N44" s="2" t="s">
        <v>29</v>
      </c>
      <c r="O44" s="3">
        <v>46067</v>
      </c>
      <c r="P44" t="str">
        <f t="shared" si="7"/>
        <v>Regular</v>
      </c>
      <c r="Q44">
        <f t="shared" si="8"/>
        <v>1</v>
      </c>
      <c r="R44">
        <f t="shared" si="9"/>
        <v>2</v>
      </c>
      <c r="S44">
        <f t="shared" si="10"/>
        <v>2</v>
      </c>
      <c r="T44">
        <f t="shared" si="6"/>
        <v>5</v>
      </c>
    </row>
    <row r="45" spans="1:20" ht="13.8" x14ac:dyDescent="0.25">
      <c r="A45" s="2" t="str">
        <f t="shared" si="4"/>
        <v>C044</v>
      </c>
      <c r="B45" s="2">
        <v>48</v>
      </c>
      <c r="C45" s="2" t="s">
        <v>24</v>
      </c>
      <c r="D45" s="2" t="s">
        <v>30</v>
      </c>
      <c r="E45" s="2" t="s">
        <v>18</v>
      </c>
      <c r="F45" s="2" t="s">
        <v>39</v>
      </c>
      <c r="G45" s="2">
        <v>2</v>
      </c>
      <c r="H45" s="2">
        <v>2672</v>
      </c>
      <c r="I45" s="2">
        <f t="shared" si="5"/>
        <v>5344</v>
      </c>
      <c r="J45" s="2" t="s">
        <v>20</v>
      </c>
      <c r="K45" s="2" t="s">
        <v>32</v>
      </c>
      <c r="L45" s="2" t="s">
        <v>28</v>
      </c>
      <c r="M45" s="2" t="s">
        <v>23</v>
      </c>
      <c r="N45" s="2" t="s">
        <v>23</v>
      </c>
      <c r="O45" s="3">
        <v>46068</v>
      </c>
      <c r="P45" t="str">
        <f t="shared" si="7"/>
        <v>Regular</v>
      </c>
      <c r="Q45">
        <f t="shared" si="8"/>
        <v>1</v>
      </c>
      <c r="R45">
        <f t="shared" si="9"/>
        <v>1</v>
      </c>
      <c r="S45">
        <f t="shared" si="10"/>
        <v>3</v>
      </c>
      <c r="T45">
        <f t="shared" si="6"/>
        <v>5</v>
      </c>
    </row>
    <row r="46" spans="1:20" ht="13.8" x14ac:dyDescent="0.25">
      <c r="A46" s="2" t="str">
        <f t="shared" si="4"/>
        <v>C045</v>
      </c>
      <c r="B46" s="2">
        <v>50</v>
      </c>
      <c r="C46" s="2" t="s">
        <v>16</v>
      </c>
      <c r="D46" s="2" t="s">
        <v>36</v>
      </c>
      <c r="E46" s="2" t="s">
        <v>23</v>
      </c>
      <c r="F46" s="2" t="s">
        <v>19</v>
      </c>
      <c r="G46" s="2">
        <v>12</v>
      </c>
      <c r="H46" s="2">
        <v>788</v>
      </c>
      <c r="I46" s="2">
        <f t="shared" si="5"/>
        <v>9456</v>
      </c>
      <c r="J46" s="2" t="s">
        <v>42</v>
      </c>
      <c r="K46" s="2" t="s">
        <v>21</v>
      </c>
      <c r="L46" t="s">
        <v>22</v>
      </c>
      <c r="M46" s="2" t="s">
        <v>18</v>
      </c>
      <c r="N46" s="2" t="s">
        <v>18</v>
      </c>
      <c r="O46" s="3">
        <v>46069</v>
      </c>
      <c r="P46" t="str">
        <f t="shared" si="7"/>
        <v>Regular</v>
      </c>
      <c r="Q46">
        <f t="shared" si="8"/>
        <v>2</v>
      </c>
      <c r="R46">
        <f t="shared" si="9"/>
        <v>1</v>
      </c>
      <c r="S46">
        <f t="shared" si="10"/>
        <v>2</v>
      </c>
      <c r="T46">
        <f t="shared" si="6"/>
        <v>5</v>
      </c>
    </row>
    <row r="47" spans="1:20" ht="27.6" x14ac:dyDescent="0.25">
      <c r="A47" s="2" t="str">
        <f t="shared" si="4"/>
        <v>C046</v>
      </c>
      <c r="B47" s="2">
        <v>20</v>
      </c>
      <c r="C47" s="2" t="s">
        <v>16</v>
      </c>
      <c r="D47" s="2" t="s">
        <v>17</v>
      </c>
      <c r="E47" s="2" t="s">
        <v>18</v>
      </c>
      <c r="F47" s="2" t="s">
        <v>31</v>
      </c>
      <c r="G47" s="2">
        <v>10</v>
      </c>
      <c r="H47" s="2">
        <v>1356</v>
      </c>
      <c r="I47" s="2">
        <f t="shared" si="5"/>
        <v>13560</v>
      </c>
      <c r="J47" s="2" t="s">
        <v>35</v>
      </c>
      <c r="K47" s="2" t="s">
        <v>21</v>
      </c>
      <c r="L47" s="2" t="s">
        <v>28</v>
      </c>
      <c r="M47" s="2" t="s">
        <v>23</v>
      </c>
      <c r="N47" s="2" t="s">
        <v>29</v>
      </c>
      <c r="O47" s="3">
        <v>46070</v>
      </c>
      <c r="P47" t="str">
        <f t="shared" si="7"/>
        <v>Regular</v>
      </c>
      <c r="Q47">
        <f t="shared" si="8"/>
        <v>2</v>
      </c>
      <c r="R47">
        <f t="shared" si="9"/>
        <v>1</v>
      </c>
      <c r="S47">
        <f t="shared" si="10"/>
        <v>3</v>
      </c>
      <c r="T47">
        <f t="shared" si="6"/>
        <v>6</v>
      </c>
    </row>
    <row r="48" spans="1:20" ht="13.8" x14ac:dyDescent="0.25">
      <c r="A48" s="2" t="str">
        <f t="shared" si="4"/>
        <v>C047</v>
      </c>
      <c r="B48" s="2">
        <v>37</v>
      </c>
      <c r="C48" s="2" t="s">
        <v>24</v>
      </c>
      <c r="D48" s="2" t="s">
        <v>25</v>
      </c>
      <c r="E48" s="2" t="s">
        <v>23</v>
      </c>
      <c r="F48" s="2" t="s">
        <v>38</v>
      </c>
      <c r="G48" s="2">
        <v>11</v>
      </c>
      <c r="H48" s="2">
        <v>3578</v>
      </c>
      <c r="I48" s="2">
        <f t="shared" si="5"/>
        <v>39358</v>
      </c>
      <c r="J48" s="2" t="s">
        <v>20</v>
      </c>
      <c r="K48" s="2" t="s">
        <v>32</v>
      </c>
      <c r="L48" t="s">
        <v>22</v>
      </c>
      <c r="M48" s="2" t="s">
        <v>18</v>
      </c>
      <c r="N48" s="2" t="s">
        <v>29</v>
      </c>
      <c r="O48" s="3">
        <v>46071</v>
      </c>
      <c r="P48" t="str">
        <f t="shared" si="7"/>
        <v>Regular</v>
      </c>
      <c r="Q48">
        <f t="shared" si="8"/>
        <v>2</v>
      </c>
      <c r="R48">
        <f t="shared" si="9"/>
        <v>2</v>
      </c>
      <c r="S48">
        <f t="shared" si="10"/>
        <v>2</v>
      </c>
      <c r="T48">
        <f t="shared" si="6"/>
        <v>6</v>
      </c>
    </row>
    <row r="49" spans="1:20" ht="13.8" x14ac:dyDescent="0.25">
      <c r="A49" s="2" t="str">
        <f t="shared" si="4"/>
        <v>C048</v>
      </c>
      <c r="B49" s="2">
        <v>50</v>
      </c>
      <c r="C49" s="2" t="s">
        <v>16</v>
      </c>
      <c r="D49" s="2" t="s">
        <v>30</v>
      </c>
      <c r="E49" s="2" t="s">
        <v>18</v>
      </c>
      <c r="F49" s="2" t="s">
        <v>34</v>
      </c>
      <c r="G49" s="2">
        <v>15</v>
      </c>
      <c r="H49" s="2">
        <v>2678</v>
      </c>
      <c r="I49" s="2">
        <f t="shared" si="5"/>
        <v>40170</v>
      </c>
      <c r="J49" s="2" t="s">
        <v>35</v>
      </c>
      <c r="K49" s="2" t="s">
        <v>32</v>
      </c>
      <c r="L49" s="2" t="s">
        <v>28</v>
      </c>
      <c r="M49" s="2" t="s">
        <v>23</v>
      </c>
      <c r="N49" s="2" t="s">
        <v>18</v>
      </c>
      <c r="O49" s="3">
        <v>46072</v>
      </c>
      <c r="P49" t="str">
        <f t="shared" si="7"/>
        <v>Premium</v>
      </c>
      <c r="Q49">
        <f t="shared" si="8"/>
        <v>3</v>
      </c>
      <c r="R49">
        <f t="shared" si="9"/>
        <v>3</v>
      </c>
      <c r="S49">
        <f t="shared" si="10"/>
        <v>3</v>
      </c>
      <c r="T49">
        <f t="shared" si="6"/>
        <v>9</v>
      </c>
    </row>
    <row r="50" spans="1:20" ht="27.6" x14ac:dyDescent="0.25">
      <c r="A50" s="2" t="str">
        <f t="shared" si="4"/>
        <v>C049</v>
      </c>
      <c r="B50" s="2">
        <v>20</v>
      </c>
      <c r="C50" s="2" t="s">
        <v>24</v>
      </c>
      <c r="D50" s="2" t="s">
        <v>17</v>
      </c>
      <c r="E50" s="2" t="s">
        <v>23</v>
      </c>
      <c r="F50" s="2" t="s">
        <v>39</v>
      </c>
      <c r="G50" s="2">
        <v>4</v>
      </c>
      <c r="H50" s="2">
        <v>1478</v>
      </c>
      <c r="I50" s="2">
        <f t="shared" si="5"/>
        <v>5912</v>
      </c>
      <c r="J50" s="2" t="s">
        <v>41</v>
      </c>
      <c r="K50" s="2" t="s">
        <v>21</v>
      </c>
      <c r="L50" t="s">
        <v>22</v>
      </c>
      <c r="M50" s="2" t="s">
        <v>18</v>
      </c>
      <c r="N50" s="2" t="s">
        <v>23</v>
      </c>
      <c r="O50" s="3">
        <v>46073</v>
      </c>
      <c r="P50" t="str">
        <f t="shared" si="7"/>
        <v>Low Value</v>
      </c>
      <c r="Q50">
        <f t="shared" si="8"/>
        <v>1</v>
      </c>
      <c r="R50">
        <f t="shared" si="9"/>
        <v>1</v>
      </c>
      <c r="S50">
        <f t="shared" si="10"/>
        <v>2</v>
      </c>
      <c r="T50">
        <f t="shared" si="6"/>
        <v>4</v>
      </c>
    </row>
    <row r="51" spans="1:20" ht="13.8" x14ac:dyDescent="0.25">
      <c r="A51" s="2" t="str">
        <f t="shared" si="4"/>
        <v>C050</v>
      </c>
      <c r="B51" s="2">
        <v>30</v>
      </c>
      <c r="C51" s="2" t="s">
        <v>24</v>
      </c>
      <c r="D51" s="2" t="s">
        <v>36</v>
      </c>
      <c r="E51" s="2" t="s">
        <v>18</v>
      </c>
      <c r="F51" s="2" t="s">
        <v>40</v>
      </c>
      <c r="G51" s="2">
        <v>8</v>
      </c>
      <c r="H51" s="2">
        <v>2567</v>
      </c>
      <c r="I51" s="2">
        <f t="shared" si="5"/>
        <v>20536</v>
      </c>
      <c r="J51" s="2" t="s">
        <v>42</v>
      </c>
      <c r="K51" s="2" t="s">
        <v>32</v>
      </c>
      <c r="L51" s="2" t="s">
        <v>28</v>
      </c>
      <c r="M51" s="2" t="s">
        <v>23</v>
      </c>
      <c r="N51" s="2" t="s">
        <v>18</v>
      </c>
      <c r="O51" s="3">
        <v>46074</v>
      </c>
      <c r="P51" t="str">
        <f t="shared" si="7"/>
        <v>Regular</v>
      </c>
      <c r="Q51">
        <f t="shared" si="8"/>
        <v>2</v>
      </c>
      <c r="R51">
        <f t="shared" si="9"/>
        <v>2</v>
      </c>
      <c r="S51">
        <f t="shared" si="10"/>
        <v>3</v>
      </c>
      <c r="T51">
        <f t="shared" si="6"/>
        <v>7</v>
      </c>
    </row>
    <row r="52" spans="1:20" ht="13.8" x14ac:dyDescent="0.25">
      <c r="A52" s="2" t="str">
        <f t="shared" si="4"/>
        <v>C051</v>
      </c>
      <c r="B52" s="2">
        <v>40</v>
      </c>
      <c r="C52" s="2" t="s">
        <v>16</v>
      </c>
      <c r="D52" s="2" t="s">
        <v>33</v>
      </c>
      <c r="E52" s="2" t="s">
        <v>23</v>
      </c>
      <c r="F52" s="2" t="s">
        <v>38</v>
      </c>
      <c r="G52" s="2">
        <v>9</v>
      </c>
      <c r="H52" s="2">
        <v>4789</v>
      </c>
      <c r="I52" s="2">
        <f t="shared" si="5"/>
        <v>43101</v>
      </c>
      <c r="J52" s="2" t="s">
        <v>27</v>
      </c>
      <c r="K52" s="2" t="s">
        <v>21</v>
      </c>
      <c r="L52" t="s">
        <v>22</v>
      </c>
      <c r="M52" s="2" t="s">
        <v>18</v>
      </c>
      <c r="N52" s="2" t="s">
        <v>29</v>
      </c>
      <c r="O52" s="3">
        <v>46075</v>
      </c>
      <c r="P52" t="str">
        <f t="shared" si="7"/>
        <v>Regular</v>
      </c>
      <c r="Q52">
        <f t="shared" si="8"/>
        <v>2</v>
      </c>
      <c r="R52">
        <f t="shared" si="9"/>
        <v>3</v>
      </c>
      <c r="S52">
        <f t="shared" si="10"/>
        <v>2</v>
      </c>
      <c r="T52">
        <f t="shared" si="6"/>
        <v>7</v>
      </c>
    </row>
    <row r="53" spans="1:20" ht="13.8" x14ac:dyDescent="0.25">
      <c r="A53" s="2" t="str">
        <f t="shared" si="4"/>
        <v>C052</v>
      </c>
      <c r="B53" s="2">
        <v>25</v>
      </c>
      <c r="C53" s="2" t="s">
        <v>16</v>
      </c>
      <c r="D53" s="2" t="s">
        <v>36</v>
      </c>
      <c r="E53" s="2" t="s">
        <v>18</v>
      </c>
      <c r="F53" s="2" t="s">
        <v>37</v>
      </c>
      <c r="G53" s="2">
        <v>4</v>
      </c>
      <c r="H53" s="2">
        <v>3965</v>
      </c>
      <c r="I53" s="2">
        <f t="shared" si="5"/>
        <v>15860</v>
      </c>
      <c r="J53" s="2" t="s">
        <v>35</v>
      </c>
      <c r="K53" s="2" t="s">
        <v>32</v>
      </c>
      <c r="L53" s="2" t="s">
        <v>28</v>
      </c>
      <c r="M53" s="2" t="s">
        <v>23</v>
      </c>
      <c r="N53" s="2" t="s">
        <v>23</v>
      </c>
      <c r="O53" s="3">
        <v>46076</v>
      </c>
      <c r="P53" t="str">
        <f t="shared" si="7"/>
        <v>Regular</v>
      </c>
      <c r="Q53">
        <f t="shared" si="8"/>
        <v>1</v>
      </c>
      <c r="R53">
        <f t="shared" si="9"/>
        <v>2</v>
      </c>
      <c r="S53">
        <f t="shared" si="10"/>
        <v>3</v>
      </c>
      <c r="T53">
        <f t="shared" si="6"/>
        <v>6</v>
      </c>
    </row>
    <row r="54" spans="1:20" ht="27.6" x14ac:dyDescent="0.25">
      <c r="A54" s="2" t="str">
        <f t="shared" si="4"/>
        <v>C053</v>
      </c>
      <c r="B54" s="2">
        <v>45</v>
      </c>
      <c r="C54" s="2" t="s">
        <v>24</v>
      </c>
      <c r="D54" s="2" t="s">
        <v>17</v>
      </c>
      <c r="E54" s="2" t="s">
        <v>23</v>
      </c>
      <c r="F54" s="2" t="s">
        <v>31</v>
      </c>
      <c r="G54" s="2">
        <v>16</v>
      </c>
      <c r="H54" s="2">
        <v>3645</v>
      </c>
      <c r="I54" s="2">
        <f t="shared" si="5"/>
        <v>58320</v>
      </c>
      <c r="J54" s="2" t="s">
        <v>41</v>
      </c>
      <c r="K54" s="2" t="s">
        <v>21</v>
      </c>
      <c r="L54" t="s">
        <v>22</v>
      </c>
      <c r="M54" s="2" t="s">
        <v>18</v>
      </c>
      <c r="N54" s="2" t="s">
        <v>23</v>
      </c>
      <c r="O54" s="3">
        <v>46077</v>
      </c>
      <c r="P54" t="str">
        <f t="shared" si="7"/>
        <v>Premium</v>
      </c>
      <c r="Q54">
        <f t="shared" si="8"/>
        <v>3</v>
      </c>
      <c r="R54">
        <f t="shared" si="9"/>
        <v>3</v>
      </c>
      <c r="S54">
        <f t="shared" si="10"/>
        <v>2</v>
      </c>
      <c r="T54">
        <f t="shared" si="6"/>
        <v>8</v>
      </c>
    </row>
    <row r="55" spans="1:20" ht="13.8" x14ac:dyDescent="0.25">
      <c r="A55" s="2" t="str">
        <f t="shared" si="4"/>
        <v>C054</v>
      </c>
      <c r="B55" s="2">
        <v>50</v>
      </c>
      <c r="C55" s="2" t="s">
        <v>24</v>
      </c>
      <c r="D55" s="2" t="s">
        <v>33</v>
      </c>
      <c r="E55" s="2" t="s">
        <v>18</v>
      </c>
      <c r="F55" s="2" t="s">
        <v>31</v>
      </c>
      <c r="G55" s="2">
        <v>13</v>
      </c>
      <c r="H55" s="2">
        <v>2790</v>
      </c>
      <c r="I55" s="2">
        <f t="shared" si="5"/>
        <v>36270</v>
      </c>
      <c r="J55" s="2" t="s">
        <v>20</v>
      </c>
      <c r="K55" s="2" t="s">
        <v>21</v>
      </c>
      <c r="L55" s="2" t="s">
        <v>28</v>
      </c>
      <c r="M55" s="2" t="s">
        <v>23</v>
      </c>
      <c r="N55" s="2" t="s">
        <v>18</v>
      </c>
      <c r="O55" s="3">
        <v>46078</v>
      </c>
      <c r="P55" t="str">
        <f t="shared" si="7"/>
        <v>Regular</v>
      </c>
      <c r="Q55">
        <f t="shared" si="8"/>
        <v>2</v>
      </c>
      <c r="R55">
        <f t="shared" si="9"/>
        <v>2</v>
      </c>
      <c r="S55">
        <f t="shared" si="10"/>
        <v>3</v>
      </c>
      <c r="T55">
        <f t="shared" si="6"/>
        <v>7</v>
      </c>
    </row>
    <row r="56" spans="1:20" ht="13.8" x14ac:dyDescent="0.25">
      <c r="A56" s="2" t="str">
        <f t="shared" si="4"/>
        <v>C055</v>
      </c>
      <c r="B56" s="2">
        <v>20</v>
      </c>
      <c r="C56" s="2" t="s">
        <v>16</v>
      </c>
      <c r="D56" s="2" t="s">
        <v>25</v>
      </c>
      <c r="E56" s="2" t="s">
        <v>23</v>
      </c>
      <c r="F56" s="2" t="s">
        <v>38</v>
      </c>
      <c r="G56" s="2">
        <v>17</v>
      </c>
      <c r="H56" s="2">
        <v>5437</v>
      </c>
      <c r="I56" s="2">
        <f t="shared" si="5"/>
        <v>92429</v>
      </c>
      <c r="J56" s="2" t="s">
        <v>42</v>
      </c>
      <c r="K56" s="2" t="s">
        <v>21</v>
      </c>
      <c r="L56" t="s">
        <v>22</v>
      </c>
      <c r="M56" s="2" t="s">
        <v>18</v>
      </c>
      <c r="N56" s="2" t="s">
        <v>29</v>
      </c>
      <c r="O56" s="3">
        <v>46079</v>
      </c>
      <c r="P56" t="str">
        <f t="shared" si="7"/>
        <v>Premium</v>
      </c>
      <c r="Q56">
        <f t="shared" si="8"/>
        <v>3</v>
      </c>
      <c r="R56">
        <f t="shared" si="9"/>
        <v>3</v>
      </c>
      <c r="S56">
        <f t="shared" si="10"/>
        <v>2</v>
      </c>
      <c r="T56">
        <f t="shared" si="6"/>
        <v>8</v>
      </c>
    </row>
    <row r="57" spans="1:20" ht="13.8" x14ac:dyDescent="0.25">
      <c r="A57" s="2" t="str">
        <f t="shared" si="4"/>
        <v>C056</v>
      </c>
      <c r="B57" s="2">
        <v>31</v>
      </c>
      <c r="C57" s="2" t="s">
        <v>24</v>
      </c>
      <c r="D57" s="2" t="s">
        <v>30</v>
      </c>
      <c r="E57" s="2" t="s">
        <v>18</v>
      </c>
      <c r="F57" s="2" t="s">
        <v>19</v>
      </c>
      <c r="G57" s="2">
        <v>18</v>
      </c>
      <c r="H57" s="2">
        <v>3467</v>
      </c>
      <c r="I57" s="2">
        <f t="shared" si="5"/>
        <v>62406</v>
      </c>
      <c r="J57" s="2" t="s">
        <v>27</v>
      </c>
      <c r="K57" s="2" t="s">
        <v>32</v>
      </c>
      <c r="L57" s="2" t="s">
        <v>28</v>
      </c>
      <c r="M57" s="2" t="s">
        <v>23</v>
      </c>
      <c r="N57" s="2" t="s">
        <v>18</v>
      </c>
      <c r="O57" s="3">
        <v>46080</v>
      </c>
      <c r="P57" t="str">
        <f t="shared" si="7"/>
        <v>Premium</v>
      </c>
      <c r="Q57">
        <f t="shared" si="8"/>
        <v>3</v>
      </c>
      <c r="R57">
        <f t="shared" si="9"/>
        <v>3</v>
      </c>
      <c r="S57">
        <f t="shared" si="10"/>
        <v>3</v>
      </c>
      <c r="T57">
        <f t="shared" si="6"/>
        <v>9</v>
      </c>
    </row>
    <row r="58" spans="1:20" ht="27.6" x14ac:dyDescent="0.25">
      <c r="A58" s="2" t="str">
        <f t="shared" si="4"/>
        <v>C057</v>
      </c>
      <c r="B58" s="2">
        <v>41</v>
      </c>
      <c r="C58" s="2" t="s">
        <v>16</v>
      </c>
      <c r="D58" s="2" t="s">
        <v>17</v>
      </c>
      <c r="E58" s="2" t="s">
        <v>23</v>
      </c>
      <c r="F58" s="2" t="s">
        <v>34</v>
      </c>
      <c r="G58" s="2">
        <v>16</v>
      </c>
      <c r="H58" s="2">
        <v>2456</v>
      </c>
      <c r="I58" s="2">
        <f t="shared" si="5"/>
        <v>39296</v>
      </c>
      <c r="J58" s="2" t="s">
        <v>41</v>
      </c>
      <c r="K58" s="2" t="s">
        <v>21</v>
      </c>
      <c r="L58" t="s">
        <v>28</v>
      </c>
      <c r="M58" s="2" t="s">
        <v>18</v>
      </c>
      <c r="N58" s="2" t="s">
        <v>23</v>
      </c>
      <c r="O58" s="3">
        <v>46081</v>
      </c>
      <c r="P58" t="str">
        <f t="shared" si="7"/>
        <v>Regular</v>
      </c>
      <c r="Q58">
        <f t="shared" si="8"/>
        <v>3</v>
      </c>
      <c r="R58">
        <f t="shared" si="9"/>
        <v>2</v>
      </c>
      <c r="S58">
        <f t="shared" si="10"/>
        <v>2</v>
      </c>
      <c r="T58">
        <f t="shared" si="6"/>
        <v>7</v>
      </c>
    </row>
    <row r="59" spans="1:20" ht="13.8" x14ac:dyDescent="0.25">
      <c r="A59" s="2" t="str">
        <f t="shared" si="4"/>
        <v>C058</v>
      </c>
      <c r="B59" s="2">
        <v>31</v>
      </c>
      <c r="C59" s="2" t="s">
        <v>24</v>
      </c>
      <c r="D59" s="2" t="s">
        <v>33</v>
      </c>
      <c r="E59" s="2" t="s">
        <v>18</v>
      </c>
      <c r="F59" s="2" t="s">
        <v>39</v>
      </c>
      <c r="G59" s="2">
        <v>7</v>
      </c>
      <c r="H59" s="2">
        <v>1479</v>
      </c>
      <c r="I59" s="2">
        <f t="shared" si="5"/>
        <v>10353</v>
      </c>
      <c r="J59" s="2" t="s">
        <v>35</v>
      </c>
      <c r="K59" s="2" t="s">
        <v>32</v>
      </c>
      <c r="L59" s="2" t="s">
        <v>22</v>
      </c>
      <c r="M59" s="2" t="s">
        <v>23</v>
      </c>
      <c r="N59" s="2" t="s">
        <v>29</v>
      </c>
      <c r="O59" s="3">
        <v>46082</v>
      </c>
      <c r="P59" t="str">
        <f t="shared" si="7"/>
        <v>Regular</v>
      </c>
      <c r="Q59">
        <f t="shared" si="8"/>
        <v>1</v>
      </c>
      <c r="R59">
        <f t="shared" si="9"/>
        <v>1</v>
      </c>
      <c r="S59">
        <f t="shared" si="10"/>
        <v>3</v>
      </c>
      <c r="T59">
        <f t="shared" si="6"/>
        <v>5</v>
      </c>
    </row>
    <row r="60" spans="1:20" ht="13.8" x14ac:dyDescent="0.25">
      <c r="A60" s="2" t="str">
        <f t="shared" si="4"/>
        <v>C059</v>
      </c>
      <c r="B60" s="2">
        <v>36</v>
      </c>
      <c r="C60" s="2" t="s">
        <v>16</v>
      </c>
      <c r="D60" s="2" t="s">
        <v>25</v>
      </c>
      <c r="E60" s="2" t="s">
        <v>23</v>
      </c>
      <c r="F60" s="2" t="s">
        <v>40</v>
      </c>
      <c r="G60" s="2">
        <v>8</v>
      </c>
      <c r="H60" s="2">
        <v>3210</v>
      </c>
      <c r="I60" s="2">
        <f t="shared" si="5"/>
        <v>25680</v>
      </c>
      <c r="J60" s="2" t="s">
        <v>20</v>
      </c>
      <c r="K60" s="2" t="s">
        <v>21</v>
      </c>
      <c r="L60" t="s">
        <v>28</v>
      </c>
      <c r="M60" s="2" t="s">
        <v>18</v>
      </c>
      <c r="N60" s="2" t="s">
        <v>18</v>
      </c>
      <c r="O60" s="3">
        <v>46083</v>
      </c>
      <c r="P60" t="str">
        <f t="shared" si="7"/>
        <v>Regular</v>
      </c>
      <c r="Q60">
        <f t="shared" si="8"/>
        <v>2</v>
      </c>
      <c r="R60">
        <f t="shared" si="9"/>
        <v>2</v>
      </c>
      <c r="S60">
        <f t="shared" si="10"/>
        <v>2</v>
      </c>
      <c r="T60">
        <f t="shared" si="6"/>
        <v>6</v>
      </c>
    </row>
    <row r="61" spans="1:20" ht="13.8" x14ac:dyDescent="0.25">
      <c r="A61" s="2" t="str">
        <f t="shared" si="4"/>
        <v>C060</v>
      </c>
      <c r="B61" s="2">
        <v>47</v>
      </c>
      <c r="C61" s="2" t="s">
        <v>24</v>
      </c>
      <c r="D61" s="2" t="s">
        <v>36</v>
      </c>
      <c r="E61" s="2" t="s">
        <v>18</v>
      </c>
      <c r="F61" s="2" t="s">
        <v>31</v>
      </c>
      <c r="G61" s="2">
        <v>14</v>
      </c>
      <c r="H61" s="2">
        <v>2970</v>
      </c>
      <c r="I61" s="2">
        <f t="shared" si="5"/>
        <v>41580</v>
      </c>
      <c r="J61" s="2" t="s">
        <v>42</v>
      </c>
      <c r="K61" s="2" t="s">
        <v>32</v>
      </c>
      <c r="L61" s="2" t="s">
        <v>28</v>
      </c>
      <c r="M61" s="2" t="s">
        <v>23</v>
      </c>
      <c r="N61" s="2" t="s">
        <v>23</v>
      </c>
      <c r="O61" s="3">
        <v>46084</v>
      </c>
      <c r="P61" t="str">
        <f t="shared" si="7"/>
        <v>Premium</v>
      </c>
      <c r="Q61">
        <f t="shared" si="8"/>
        <v>2</v>
      </c>
      <c r="R61">
        <f t="shared" si="9"/>
        <v>3</v>
      </c>
      <c r="S61">
        <f t="shared" si="10"/>
        <v>3</v>
      </c>
      <c r="T61">
        <f t="shared" si="6"/>
        <v>8</v>
      </c>
    </row>
    <row r="62" spans="1:20" ht="13.8" x14ac:dyDescent="0.25">
      <c r="A62" s="2" t="str">
        <f t="shared" si="4"/>
        <v>C061</v>
      </c>
      <c r="B62" s="2">
        <v>48</v>
      </c>
      <c r="C62" s="2" t="s">
        <v>16</v>
      </c>
      <c r="D62" s="2" t="s">
        <v>30</v>
      </c>
      <c r="E62" s="2" t="s">
        <v>18</v>
      </c>
      <c r="F62" s="2" t="s">
        <v>37</v>
      </c>
      <c r="G62" s="2">
        <v>20</v>
      </c>
      <c r="H62" s="2">
        <v>3256</v>
      </c>
      <c r="I62" s="2">
        <f>G62*H62</f>
        <v>65120</v>
      </c>
      <c r="J62" s="2" t="s">
        <v>27</v>
      </c>
      <c r="K62" s="2" t="s">
        <v>21</v>
      </c>
      <c r="L62" t="s">
        <v>28</v>
      </c>
      <c r="M62" s="2" t="s">
        <v>18</v>
      </c>
      <c r="N62" s="2" t="s">
        <v>29</v>
      </c>
      <c r="O62" s="3">
        <v>46085</v>
      </c>
      <c r="P62" t="str">
        <f t="shared" si="7"/>
        <v>Premium</v>
      </c>
      <c r="Q62">
        <f t="shared" si="8"/>
        <v>3</v>
      </c>
      <c r="R62">
        <f t="shared" si="9"/>
        <v>3</v>
      </c>
      <c r="S62">
        <f t="shared" si="10"/>
        <v>2</v>
      </c>
      <c r="T62">
        <f t="shared" si="6"/>
        <v>8</v>
      </c>
    </row>
    <row r="63" spans="1:20" ht="27.6" x14ac:dyDescent="0.25">
      <c r="A63" s="2" t="str">
        <f t="shared" si="4"/>
        <v>C062</v>
      </c>
      <c r="B63" s="2">
        <v>50</v>
      </c>
      <c r="C63" s="2" t="s">
        <v>24</v>
      </c>
      <c r="D63" s="2" t="s">
        <v>17</v>
      </c>
      <c r="E63" s="2" t="s">
        <v>23</v>
      </c>
      <c r="F63" s="2" t="s">
        <v>38</v>
      </c>
      <c r="G63" s="2">
        <v>11</v>
      </c>
      <c r="H63" s="2">
        <v>4689</v>
      </c>
      <c r="I63" s="2">
        <f t="shared" si="5"/>
        <v>51579</v>
      </c>
      <c r="J63" s="2" t="s">
        <v>27</v>
      </c>
      <c r="K63" s="2" t="s">
        <v>32</v>
      </c>
      <c r="L63" s="2" t="s">
        <v>22</v>
      </c>
      <c r="M63" s="2" t="s">
        <v>23</v>
      </c>
      <c r="N63" s="2" t="s">
        <v>18</v>
      </c>
      <c r="O63" s="3">
        <v>46086</v>
      </c>
      <c r="P63" t="str">
        <f t="shared" si="7"/>
        <v>Premium</v>
      </c>
      <c r="Q63">
        <f t="shared" si="8"/>
        <v>2</v>
      </c>
      <c r="R63">
        <f t="shared" si="9"/>
        <v>3</v>
      </c>
      <c r="S63">
        <f t="shared" si="10"/>
        <v>3</v>
      </c>
      <c r="T63">
        <f t="shared" si="6"/>
        <v>8</v>
      </c>
    </row>
    <row r="64" spans="1:20" ht="13.8" x14ac:dyDescent="0.25">
      <c r="A64" s="2" t="str">
        <f t="shared" si="4"/>
        <v>C063</v>
      </c>
      <c r="B64" s="2">
        <v>26</v>
      </c>
      <c r="C64" s="2" t="s">
        <v>16</v>
      </c>
      <c r="D64" s="2" t="s">
        <v>36</v>
      </c>
      <c r="E64" s="2" t="s">
        <v>18</v>
      </c>
      <c r="F64" s="2" t="s">
        <v>19</v>
      </c>
      <c r="G64" s="2">
        <v>9</v>
      </c>
      <c r="H64" s="2">
        <v>3568</v>
      </c>
      <c r="I64" s="2">
        <f t="shared" si="5"/>
        <v>32112</v>
      </c>
      <c r="J64" s="2" t="s">
        <v>42</v>
      </c>
      <c r="K64" s="2" t="s">
        <v>21</v>
      </c>
      <c r="L64" t="s">
        <v>22</v>
      </c>
      <c r="M64" s="2" t="s">
        <v>18</v>
      </c>
      <c r="N64" s="2" t="s">
        <v>23</v>
      </c>
      <c r="O64" s="3">
        <v>46087</v>
      </c>
      <c r="P64" t="str">
        <f t="shared" si="7"/>
        <v>Regular</v>
      </c>
      <c r="Q64">
        <f t="shared" si="8"/>
        <v>2</v>
      </c>
      <c r="R64">
        <f t="shared" si="9"/>
        <v>2</v>
      </c>
      <c r="S64">
        <f t="shared" si="10"/>
        <v>2</v>
      </c>
      <c r="T64">
        <f t="shared" si="6"/>
        <v>6</v>
      </c>
    </row>
    <row r="65" spans="1:20" ht="13.8" x14ac:dyDescent="0.25">
      <c r="A65" s="2" t="str">
        <f t="shared" si="4"/>
        <v>C064</v>
      </c>
      <c r="B65" s="2">
        <v>28</v>
      </c>
      <c r="C65" s="2" t="s">
        <v>24</v>
      </c>
      <c r="D65" s="2" t="s">
        <v>30</v>
      </c>
      <c r="E65" s="2" t="s">
        <v>23</v>
      </c>
      <c r="F65" s="2" t="s">
        <v>39</v>
      </c>
      <c r="G65" s="2">
        <v>16</v>
      </c>
      <c r="H65" s="2">
        <v>2589</v>
      </c>
      <c r="I65" s="2">
        <f t="shared" si="5"/>
        <v>41424</v>
      </c>
      <c r="J65" s="2" t="s">
        <v>20</v>
      </c>
      <c r="K65" s="2" t="s">
        <v>32</v>
      </c>
      <c r="L65" s="2" t="s">
        <v>28</v>
      </c>
      <c r="M65" s="2" t="s">
        <v>23</v>
      </c>
      <c r="N65" s="2" t="s">
        <v>29</v>
      </c>
      <c r="O65" s="3">
        <v>46088</v>
      </c>
      <c r="P65" t="str">
        <f t="shared" si="7"/>
        <v>Premium</v>
      </c>
      <c r="Q65">
        <f t="shared" si="8"/>
        <v>3</v>
      </c>
      <c r="R65">
        <f t="shared" si="9"/>
        <v>3</v>
      </c>
      <c r="S65">
        <f t="shared" si="10"/>
        <v>3</v>
      </c>
      <c r="T65">
        <f t="shared" si="6"/>
        <v>9</v>
      </c>
    </row>
    <row r="66" spans="1:20" ht="13.8" x14ac:dyDescent="0.25">
      <c r="A66" s="2" t="str">
        <f t="shared" si="4"/>
        <v>C065</v>
      </c>
      <c r="B66" s="2">
        <v>39</v>
      </c>
      <c r="C66" s="2" t="s">
        <v>16</v>
      </c>
      <c r="D66" s="2" t="s">
        <v>25</v>
      </c>
      <c r="E66" s="2" t="s">
        <v>18</v>
      </c>
      <c r="F66" s="2" t="s">
        <v>40</v>
      </c>
      <c r="G66" s="2">
        <v>17</v>
      </c>
      <c r="H66" s="2">
        <v>300</v>
      </c>
      <c r="I66" s="2">
        <f t="shared" si="5"/>
        <v>5100</v>
      </c>
      <c r="J66" s="2" t="s">
        <v>35</v>
      </c>
      <c r="K66" s="2" t="s">
        <v>21</v>
      </c>
      <c r="L66" t="s">
        <v>22</v>
      </c>
      <c r="M66" s="2" t="s">
        <v>18</v>
      </c>
      <c r="N66" s="2" t="s">
        <v>23</v>
      </c>
      <c r="O66" s="3">
        <v>46089</v>
      </c>
      <c r="P66" t="str">
        <f t="shared" ref="P66:P101" si="11">IF(T66&gt;=8,"Premium",IF(T66&gt;=5,"Regular","Low Value"))</f>
        <v>Regular</v>
      </c>
      <c r="Q66">
        <f t="shared" ref="Q66:Q101" si="12">IF(G66&gt;=15,3,IF(G66&gt;=8,2,1))</f>
        <v>3</v>
      </c>
      <c r="R66">
        <f t="shared" ref="R66:R101" si="13">IF(I66&gt;=40000,3,IF(I66&gt;=15000,2,1))</f>
        <v>1</v>
      </c>
      <c r="S66">
        <f t="shared" ref="S66:S101" si="14">IF(M66="High",3,IF(M66="Medium",2,1))</f>
        <v>2</v>
      </c>
      <c r="T66">
        <f t="shared" si="6"/>
        <v>6</v>
      </c>
    </row>
    <row r="67" spans="1:20" ht="13.8" x14ac:dyDescent="0.25">
      <c r="A67" s="2" t="str">
        <f t="shared" ref="A67:A101" si="15">"C"&amp;TEXT(ROW()-1,"000")</f>
        <v>C066</v>
      </c>
      <c r="B67" s="2">
        <v>37</v>
      </c>
      <c r="C67" s="2" t="s">
        <v>16</v>
      </c>
      <c r="D67" s="2" t="s">
        <v>33</v>
      </c>
      <c r="E67" s="2" t="s">
        <v>23</v>
      </c>
      <c r="F67" s="2" t="s">
        <v>31</v>
      </c>
      <c r="G67" s="2">
        <v>17</v>
      </c>
      <c r="H67" s="2">
        <v>555</v>
      </c>
      <c r="I67" s="2">
        <f t="shared" ref="I67:I83" si="16">G67*H67</f>
        <v>9435</v>
      </c>
      <c r="J67" s="2" t="s">
        <v>20</v>
      </c>
      <c r="K67" s="2" t="s">
        <v>32</v>
      </c>
      <c r="L67" s="2" t="s">
        <v>28</v>
      </c>
      <c r="M67" s="2" t="s">
        <v>23</v>
      </c>
      <c r="N67" s="2" t="s">
        <v>29</v>
      </c>
      <c r="O67" s="3">
        <v>46090</v>
      </c>
      <c r="P67" t="str">
        <f t="shared" si="11"/>
        <v>Regular</v>
      </c>
      <c r="Q67">
        <f t="shared" si="12"/>
        <v>3</v>
      </c>
      <c r="R67">
        <f t="shared" si="13"/>
        <v>1</v>
      </c>
      <c r="S67">
        <f t="shared" si="14"/>
        <v>3</v>
      </c>
      <c r="T67">
        <f t="shared" ref="T67:T101" si="17">Q67+R67+S67</f>
        <v>7</v>
      </c>
    </row>
    <row r="68" spans="1:20" ht="13.8" x14ac:dyDescent="0.25">
      <c r="A68" s="2" t="str">
        <f t="shared" si="15"/>
        <v>C067</v>
      </c>
      <c r="B68" s="2">
        <v>39</v>
      </c>
      <c r="C68" s="2" t="s">
        <v>24</v>
      </c>
      <c r="D68" s="2" t="s">
        <v>30</v>
      </c>
      <c r="E68" s="2" t="s">
        <v>18</v>
      </c>
      <c r="F68" s="2" t="s">
        <v>26</v>
      </c>
      <c r="G68" s="2">
        <v>12</v>
      </c>
      <c r="H68" s="2">
        <v>667</v>
      </c>
      <c r="I68" s="2">
        <f t="shared" si="16"/>
        <v>8004</v>
      </c>
      <c r="J68" s="2" t="s">
        <v>35</v>
      </c>
      <c r="K68" s="2" t="s">
        <v>32</v>
      </c>
      <c r="L68" t="s">
        <v>22</v>
      </c>
      <c r="M68" s="2" t="s">
        <v>18</v>
      </c>
      <c r="N68" s="2" t="s">
        <v>18</v>
      </c>
      <c r="O68" s="3">
        <v>46091</v>
      </c>
      <c r="P68" t="str">
        <f t="shared" si="11"/>
        <v>Regular</v>
      </c>
      <c r="Q68">
        <f t="shared" si="12"/>
        <v>2</v>
      </c>
      <c r="R68">
        <f t="shared" si="13"/>
        <v>1</v>
      </c>
      <c r="S68">
        <f t="shared" si="14"/>
        <v>2</v>
      </c>
      <c r="T68">
        <f t="shared" si="17"/>
        <v>5</v>
      </c>
    </row>
    <row r="69" spans="1:20" ht="13.8" x14ac:dyDescent="0.25">
      <c r="A69" s="2" t="str">
        <f t="shared" si="15"/>
        <v>C068</v>
      </c>
      <c r="B69" s="2">
        <v>49</v>
      </c>
      <c r="C69" s="2" t="s">
        <v>16</v>
      </c>
      <c r="D69" s="2" t="s">
        <v>33</v>
      </c>
      <c r="E69" s="2" t="s">
        <v>23</v>
      </c>
      <c r="F69" s="2" t="s">
        <v>31</v>
      </c>
      <c r="G69" s="2">
        <v>14</v>
      </c>
      <c r="H69" s="2">
        <v>3568</v>
      </c>
      <c r="I69" s="2">
        <f t="shared" si="16"/>
        <v>49952</v>
      </c>
      <c r="J69" s="2" t="s">
        <v>42</v>
      </c>
      <c r="K69" s="2" t="s">
        <v>21</v>
      </c>
      <c r="L69" s="2" t="s">
        <v>28</v>
      </c>
      <c r="M69" s="2" t="s">
        <v>23</v>
      </c>
      <c r="N69" s="2" t="s">
        <v>23</v>
      </c>
      <c r="O69" s="3">
        <v>46092</v>
      </c>
      <c r="P69" t="str">
        <f t="shared" si="11"/>
        <v>Premium</v>
      </c>
      <c r="Q69">
        <f t="shared" si="12"/>
        <v>2</v>
      </c>
      <c r="R69">
        <f t="shared" si="13"/>
        <v>3</v>
      </c>
      <c r="S69">
        <f t="shared" si="14"/>
        <v>3</v>
      </c>
      <c r="T69">
        <f t="shared" si="17"/>
        <v>8</v>
      </c>
    </row>
    <row r="70" spans="1:20" ht="13.8" x14ac:dyDescent="0.25">
      <c r="A70" s="2" t="str">
        <f t="shared" si="15"/>
        <v>C069</v>
      </c>
      <c r="B70" s="2">
        <v>47</v>
      </c>
      <c r="C70" s="2" t="s">
        <v>24</v>
      </c>
      <c r="D70" s="2" t="s">
        <v>25</v>
      </c>
      <c r="E70" s="2" t="s">
        <v>18</v>
      </c>
      <c r="F70" s="2" t="s">
        <v>34</v>
      </c>
      <c r="G70" s="2">
        <v>16</v>
      </c>
      <c r="H70" s="2">
        <v>2789</v>
      </c>
      <c r="I70" s="2">
        <f t="shared" si="16"/>
        <v>44624</v>
      </c>
      <c r="J70" s="2" t="s">
        <v>41</v>
      </c>
      <c r="K70" s="2" t="s">
        <v>21</v>
      </c>
      <c r="L70" t="s">
        <v>22</v>
      </c>
      <c r="M70" s="2" t="s">
        <v>18</v>
      </c>
      <c r="N70" s="2" t="s">
        <v>18</v>
      </c>
      <c r="O70" s="3">
        <v>46093</v>
      </c>
      <c r="P70" t="str">
        <f t="shared" si="11"/>
        <v>Premium</v>
      </c>
      <c r="Q70">
        <f t="shared" si="12"/>
        <v>3</v>
      </c>
      <c r="R70">
        <f t="shared" si="13"/>
        <v>3</v>
      </c>
      <c r="S70">
        <f t="shared" si="14"/>
        <v>2</v>
      </c>
      <c r="T70">
        <f t="shared" si="17"/>
        <v>8</v>
      </c>
    </row>
    <row r="71" spans="1:20" ht="13.8" x14ac:dyDescent="0.25">
      <c r="A71" s="2" t="str">
        <f t="shared" si="15"/>
        <v>C070</v>
      </c>
      <c r="B71" s="2">
        <v>46</v>
      </c>
      <c r="C71" s="2" t="s">
        <v>16</v>
      </c>
      <c r="D71" s="2" t="s">
        <v>36</v>
      </c>
      <c r="E71" s="2" t="s">
        <v>18</v>
      </c>
      <c r="F71" s="2" t="s">
        <v>40</v>
      </c>
      <c r="G71" s="2">
        <v>6</v>
      </c>
      <c r="H71" s="2">
        <v>2457</v>
      </c>
      <c r="I71" s="2">
        <f t="shared" si="16"/>
        <v>14742</v>
      </c>
      <c r="J71" s="2" t="s">
        <v>20</v>
      </c>
      <c r="K71" s="2" t="s">
        <v>32</v>
      </c>
      <c r="L71" s="2" t="s">
        <v>28</v>
      </c>
      <c r="M71" s="2" t="s">
        <v>23</v>
      </c>
      <c r="N71" s="2" t="s">
        <v>23</v>
      </c>
      <c r="O71" s="3">
        <v>46094</v>
      </c>
      <c r="P71" t="str">
        <f t="shared" si="11"/>
        <v>Regular</v>
      </c>
      <c r="Q71">
        <f t="shared" si="12"/>
        <v>1</v>
      </c>
      <c r="R71">
        <f t="shared" si="13"/>
        <v>1</v>
      </c>
      <c r="S71">
        <f t="shared" si="14"/>
        <v>3</v>
      </c>
      <c r="T71">
        <f t="shared" si="17"/>
        <v>5</v>
      </c>
    </row>
    <row r="72" spans="1:20" ht="27.6" x14ac:dyDescent="0.25">
      <c r="A72" s="2" t="str">
        <f t="shared" si="15"/>
        <v>C071</v>
      </c>
      <c r="B72" s="2">
        <v>42</v>
      </c>
      <c r="C72" s="2" t="s">
        <v>24</v>
      </c>
      <c r="D72" s="2" t="s">
        <v>17</v>
      </c>
      <c r="E72" s="2" t="s">
        <v>23</v>
      </c>
      <c r="F72" s="2" t="s">
        <v>39</v>
      </c>
      <c r="G72" s="2">
        <v>7</v>
      </c>
      <c r="H72" s="2">
        <v>3456</v>
      </c>
      <c r="I72" s="2">
        <f t="shared" si="16"/>
        <v>24192</v>
      </c>
      <c r="J72" s="2" t="s">
        <v>27</v>
      </c>
      <c r="K72" s="2" t="s">
        <v>32</v>
      </c>
      <c r="L72" t="s">
        <v>22</v>
      </c>
      <c r="M72" s="2" t="s">
        <v>18</v>
      </c>
      <c r="N72" s="2" t="s">
        <v>29</v>
      </c>
      <c r="O72" s="3">
        <v>46095</v>
      </c>
      <c r="P72" t="str">
        <f t="shared" si="11"/>
        <v>Regular</v>
      </c>
      <c r="Q72">
        <f t="shared" si="12"/>
        <v>1</v>
      </c>
      <c r="R72">
        <f t="shared" si="13"/>
        <v>2</v>
      </c>
      <c r="S72">
        <f t="shared" si="14"/>
        <v>2</v>
      </c>
      <c r="T72">
        <f t="shared" si="17"/>
        <v>5</v>
      </c>
    </row>
    <row r="73" spans="1:20" ht="13.8" x14ac:dyDescent="0.25">
      <c r="A73" s="2" t="str">
        <f t="shared" si="15"/>
        <v>C072</v>
      </c>
      <c r="B73" s="2">
        <v>43</v>
      </c>
      <c r="C73" s="2" t="s">
        <v>16</v>
      </c>
      <c r="D73" s="2" t="s">
        <v>25</v>
      </c>
      <c r="E73" s="2" t="s">
        <v>18</v>
      </c>
      <c r="F73" s="2" t="s">
        <v>26</v>
      </c>
      <c r="G73" s="2">
        <v>9</v>
      </c>
      <c r="H73" s="2">
        <v>3777</v>
      </c>
      <c r="I73" s="2">
        <f t="shared" si="16"/>
        <v>33993</v>
      </c>
      <c r="J73" s="2" t="s">
        <v>35</v>
      </c>
      <c r="K73" s="2" t="s">
        <v>32</v>
      </c>
      <c r="L73" s="2" t="s">
        <v>28</v>
      </c>
      <c r="M73" s="2" t="s">
        <v>23</v>
      </c>
      <c r="N73" s="2" t="s">
        <v>18</v>
      </c>
      <c r="O73" s="3">
        <v>46096</v>
      </c>
      <c r="P73" t="str">
        <f t="shared" si="11"/>
        <v>Regular</v>
      </c>
      <c r="Q73">
        <f t="shared" si="12"/>
        <v>2</v>
      </c>
      <c r="R73">
        <f t="shared" si="13"/>
        <v>2</v>
      </c>
      <c r="S73">
        <f t="shared" si="14"/>
        <v>3</v>
      </c>
      <c r="T73">
        <f t="shared" si="17"/>
        <v>7</v>
      </c>
    </row>
    <row r="74" spans="1:20" ht="13.8" x14ac:dyDescent="0.25">
      <c r="A74" s="2" t="str">
        <f t="shared" si="15"/>
        <v>C073</v>
      </c>
      <c r="B74" s="2">
        <v>29</v>
      </c>
      <c r="C74" s="2" t="s">
        <v>24</v>
      </c>
      <c r="D74" s="2" t="s">
        <v>33</v>
      </c>
      <c r="E74" s="2" t="s">
        <v>23</v>
      </c>
      <c r="F74" s="2" t="s">
        <v>19</v>
      </c>
      <c r="G74" s="2">
        <v>3</v>
      </c>
      <c r="H74" s="2">
        <v>4666</v>
      </c>
      <c r="I74" s="2">
        <f t="shared" si="16"/>
        <v>13998</v>
      </c>
      <c r="J74" s="2" t="s">
        <v>41</v>
      </c>
      <c r="K74" s="2" t="s">
        <v>21</v>
      </c>
      <c r="L74" t="s">
        <v>22</v>
      </c>
      <c r="M74" s="2" t="s">
        <v>18</v>
      </c>
      <c r="N74" s="2" t="s">
        <v>23</v>
      </c>
      <c r="O74" s="3">
        <v>46097</v>
      </c>
      <c r="P74" t="str">
        <f t="shared" si="11"/>
        <v>Low Value</v>
      </c>
      <c r="Q74">
        <f t="shared" si="12"/>
        <v>1</v>
      </c>
      <c r="R74">
        <f t="shared" si="13"/>
        <v>1</v>
      </c>
      <c r="S74">
        <f t="shared" si="14"/>
        <v>2</v>
      </c>
      <c r="T74">
        <f t="shared" si="17"/>
        <v>4</v>
      </c>
    </row>
    <row r="75" spans="1:20" ht="27.6" x14ac:dyDescent="0.25">
      <c r="A75" s="2" t="str">
        <f t="shared" si="15"/>
        <v>C074</v>
      </c>
      <c r="B75" s="2">
        <v>49</v>
      </c>
      <c r="C75" s="2" t="s">
        <v>16</v>
      </c>
      <c r="D75" s="2" t="s">
        <v>17</v>
      </c>
      <c r="E75" s="2" t="s">
        <v>18</v>
      </c>
      <c r="F75" s="2" t="s">
        <v>31</v>
      </c>
      <c r="G75" s="2">
        <v>2</v>
      </c>
      <c r="H75" s="2">
        <v>3215</v>
      </c>
      <c r="I75" s="2">
        <f t="shared" si="16"/>
        <v>6430</v>
      </c>
      <c r="J75" s="2" t="s">
        <v>42</v>
      </c>
      <c r="K75" s="2" t="s">
        <v>32</v>
      </c>
      <c r="L75" s="2" t="s">
        <v>28</v>
      </c>
      <c r="M75" s="2" t="s">
        <v>23</v>
      </c>
      <c r="N75" s="2" t="s">
        <v>18</v>
      </c>
      <c r="O75" s="3">
        <v>46098</v>
      </c>
      <c r="P75" t="str">
        <f t="shared" si="11"/>
        <v>Regular</v>
      </c>
      <c r="Q75">
        <f t="shared" si="12"/>
        <v>1</v>
      </c>
      <c r="R75">
        <f t="shared" si="13"/>
        <v>1</v>
      </c>
      <c r="S75">
        <f t="shared" si="14"/>
        <v>3</v>
      </c>
      <c r="T75">
        <f t="shared" si="17"/>
        <v>5</v>
      </c>
    </row>
    <row r="76" spans="1:20" ht="13.8" x14ac:dyDescent="0.25">
      <c r="A76" s="2" t="str">
        <f t="shared" si="15"/>
        <v>C075</v>
      </c>
      <c r="B76" s="2">
        <v>47</v>
      </c>
      <c r="C76" s="2" t="s">
        <v>24</v>
      </c>
      <c r="D76" s="2" t="s">
        <v>36</v>
      </c>
      <c r="E76" s="2" t="s">
        <v>18</v>
      </c>
      <c r="F76" s="2" t="s">
        <v>26</v>
      </c>
      <c r="G76" s="2">
        <v>15</v>
      </c>
      <c r="H76" s="2">
        <v>4678</v>
      </c>
      <c r="I76" s="2">
        <f t="shared" si="16"/>
        <v>70170</v>
      </c>
      <c r="J76" s="2" t="s">
        <v>27</v>
      </c>
      <c r="K76" s="2" t="s">
        <v>21</v>
      </c>
      <c r="L76" t="s">
        <v>22</v>
      </c>
      <c r="M76" s="2" t="s">
        <v>18</v>
      </c>
      <c r="N76" s="2" t="s">
        <v>23</v>
      </c>
      <c r="O76" s="3">
        <v>46099</v>
      </c>
      <c r="P76" t="str">
        <f t="shared" si="11"/>
        <v>Premium</v>
      </c>
      <c r="Q76">
        <f t="shared" si="12"/>
        <v>3</v>
      </c>
      <c r="R76">
        <f t="shared" si="13"/>
        <v>3</v>
      </c>
      <c r="S76">
        <f t="shared" si="14"/>
        <v>2</v>
      </c>
      <c r="T76">
        <f t="shared" si="17"/>
        <v>8</v>
      </c>
    </row>
    <row r="77" spans="1:20" ht="13.8" x14ac:dyDescent="0.25">
      <c r="A77" s="2" t="str">
        <f t="shared" si="15"/>
        <v>C076</v>
      </c>
      <c r="B77" s="2">
        <v>28</v>
      </c>
      <c r="C77" s="2" t="s">
        <v>16</v>
      </c>
      <c r="D77" s="2" t="s">
        <v>33</v>
      </c>
      <c r="E77" s="2" t="s">
        <v>23</v>
      </c>
      <c r="F77" s="2" t="s">
        <v>34</v>
      </c>
      <c r="G77" s="2">
        <v>18</v>
      </c>
      <c r="H77" s="2">
        <v>3478</v>
      </c>
      <c r="I77" s="2">
        <f t="shared" si="16"/>
        <v>62604</v>
      </c>
      <c r="J77" s="2" t="s">
        <v>42</v>
      </c>
      <c r="K77" s="2" t="s">
        <v>32</v>
      </c>
      <c r="L77" s="2" t="s">
        <v>28</v>
      </c>
      <c r="M77" s="2" t="s">
        <v>23</v>
      </c>
      <c r="N77" s="2" t="s">
        <v>29</v>
      </c>
      <c r="O77" s="3">
        <v>46100</v>
      </c>
      <c r="P77" t="str">
        <f t="shared" si="11"/>
        <v>Premium</v>
      </c>
      <c r="Q77">
        <f t="shared" si="12"/>
        <v>3</v>
      </c>
      <c r="R77">
        <f t="shared" si="13"/>
        <v>3</v>
      </c>
      <c r="S77">
        <f t="shared" si="14"/>
        <v>3</v>
      </c>
      <c r="T77">
        <f t="shared" si="17"/>
        <v>9</v>
      </c>
    </row>
    <row r="78" spans="1:20" ht="13.8" x14ac:dyDescent="0.25">
      <c r="A78" s="2" t="str">
        <f t="shared" si="15"/>
        <v>C077</v>
      </c>
      <c r="B78" s="2">
        <v>49</v>
      </c>
      <c r="C78" s="2" t="s">
        <v>24</v>
      </c>
      <c r="D78" s="2" t="s">
        <v>30</v>
      </c>
      <c r="E78" s="2" t="s">
        <v>23</v>
      </c>
      <c r="F78" s="2" t="s">
        <v>31</v>
      </c>
      <c r="G78" s="2">
        <v>17</v>
      </c>
      <c r="H78" s="2">
        <v>3790</v>
      </c>
      <c r="I78" s="2">
        <f t="shared" si="16"/>
        <v>64430</v>
      </c>
      <c r="J78" s="2" t="s">
        <v>35</v>
      </c>
      <c r="K78" s="2" t="s">
        <v>21</v>
      </c>
      <c r="L78" t="s">
        <v>22</v>
      </c>
      <c r="M78" s="2" t="s">
        <v>23</v>
      </c>
      <c r="N78" s="2" t="s">
        <v>23</v>
      </c>
      <c r="O78" s="3">
        <v>46101</v>
      </c>
      <c r="P78" t="str">
        <f t="shared" si="11"/>
        <v>Premium</v>
      </c>
      <c r="Q78">
        <f t="shared" si="12"/>
        <v>3</v>
      </c>
      <c r="R78">
        <f t="shared" si="13"/>
        <v>3</v>
      </c>
      <c r="S78">
        <f t="shared" si="14"/>
        <v>3</v>
      </c>
      <c r="T78">
        <f t="shared" si="17"/>
        <v>9</v>
      </c>
    </row>
    <row r="79" spans="1:20" ht="13.8" x14ac:dyDescent="0.25">
      <c r="A79" s="2" t="str">
        <f t="shared" si="15"/>
        <v>C078</v>
      </c>
      <c r="B79" s="2">
        <v>41</v>
      </c>
      <c r="C79" s="2" t="s">
        <v>16</v>
      </c>
      <c r="D79" s="2" t="s">
        <v>36</v>
      </c>
      <c r="E79" s="2" t="s">
        <v>18</v>
      </c>
      <c r="F79" s="2" t="s">
        <v>38</v>
      </c>
      <c r="G79" s="2">
        <v>19</v>
      </c>
      <c r="H79" s="2">
        <v>4569</v>
      </c>
      <c r="I79" s="2">
        <f t="shared" si="16"/>
        <v>86811</v>
      </c>
      <c r="J79" s="2" t="s">
        <v>41</v>
      </c>
      <c r="K79" s="2" t="s">
        <v>32</v>
      </c>
      <c r="L79" s="2" t="s">
        <v>28</v>
      </c>
      <c r="M79" s="2" t="s">
        <v>18</v>
      </c>
      <c r="N79" s="2" t="s">
        <v>18</v>
      </c>
      <c r="O79" s="3">
        <v>46102</v>
      </c>
      <c r="P79" t="str">
        <f t="shared" si="11"/>
        <v>Premium</v>
      </c>
      <c r="Q79">
        <f t="shared" si="12"/>
        <v>3</v>
      </c>
      <c r="R79">
        <f t="shared" si="13"/>
        <v>3</v>
      </c>
      <c r="S79">
        <f t="shared" si="14"/>
        <v>2</v>
      </c>
      <c r="T79">
        <f t="shared" si="17"/>
        <v>8</v>
      </c>
    </row>
    <row r="80" spans="1:20" ht="27.6" x14ac:dyDescent="0.25">
      <c r="A80" s="2" t="str">
        <f t="shared" si="15"/>
        <v>C079</v>
      </c>
      <c r="B80" s="2">
        <v>40</v>
      </c>
      <c r="C80" s="2" t="s">
        <v>24</v>
      </c>
      <c r="D80" s="2" t="s">
        <v>17</v>
      </c>
      <c r="E80" s="2" t="s">
        <v>23</v>
      </c>
      <c r="F80" s="2" t="s">
        <v>37</v>
      </c>
      <c r="G80" s="2">
        <v>5</v>
      </c>
      <c r="H80" s="2">
        <v>2356</v>
      </c>
      <c r="I80" s="2">
        <f t="shared" si="16"/>
        <v>11780</v>
      </c>
      <c r="J80" s="2" t="s">
        <v>20</v>
      </c>
      <c r="K80" s="2" t="s">
        <v>21</v>
      </c>
      <c r="L80" t="s">
        <v>22</v>
      </c>
      <c r="M80" s="2" t="s">
        <v>23</v>
      </c>
      <c r="N80" s="2" t="s">
        <v>29</v>
      </c>
      <c r="O80" s="3">
        <v>46103</v>
      </c>
      <c r="P80" t="str">
        <f t="shared" si="11"/>
        <v>Regular</v>
      </c>
      <c r="Q80">
        <f t="shared" si="12"/>
        <v>1</v>
      </c>
      <c r="R80">
        <f t="shared" si="13"/>
        <v>1</v>
      </c>
      <c r="S80">
        <f t="shared" si="14"/>
        <v>3</v>
      </c>
      <c r="T80">
        <f t="shared" si="17"/>
        <v>5</v>
      </c>
    </row>
    <row r="81" spans="1:20" ht="27.6" x14ac:dyDescent="0.25">
      <c r="A81" s="2" t="str">
        <f t="shared" si="15"/>
        <v>C080</v>
      </c>
      <c r="B81" s="2">
        <v>44</v>
      </c>
      <c r="C81" s="2" t="s">
        <v>16</v>
      </c>
      <c r="D81" s="2" t="s">
        <v>17</v>
      </c>
      <c r="E81" s="2" t="s">
        <v>18</v>
      </c>
      <c r="F81" s="2" t="s">
        <v>19</v>
      </c>
      <c r="G81" s="2">
        <v>7</v>
      </c>
      <c r="H81" s="2">
        <v>1256</v>
      </c>
      <c r="I81" s="2">
        <f t="shared" si="16"/>
        <v>8792</v>
      </c>
      <c r="J81" s="2" t="s">
        <v>35</v>
      </c>
      <c r="K81" s="2" t="s">
        <v>32</v>
      </c>
      <c r="L81" s="2" t="s">
        <v>28</v>
      </c>
      <c r="M81" s="2" t="s">
        <v>18</v>
      </c>
      <c r="N81" s="2" t="s">
        <v>23</v>
      </c>
      <c r="O81" s="3">
        <v>46104</v>
      </c>
      <c r="P81" t="str">
        <f t="shared" si="11"/>
        <v>Low Value</v>
      </c>
      <c r="Q81">
        <f t="shared" si="12"/>
        <v>1</v>
      </c>
      <c r="R81">
        <f t="shared" si="13"/>
        <v>1</v>
      </c>
      <c r="S81">
        <f t="shared" si="14"/>
        <v>2</v>
      </c>
      <c r="T81">
        <f t="shared" si="17"/>
        <v>4</v>
      </c>
    </row>
    <row r="82" spans="1:20" ht="13.8" x14ac:dyDescent="0.25">
      <c r="A82" s="2" t="str">
        <f t="shared" si="15"/>
        <v>C081</v>
      </c>
      <c r="B82" s="2">
        <v>33</v>
      </c>
      <c r="C82" s="2" t="s">
        <v>16</v>
      </c>
      <c r="D82" s="2" t="s">
        <v>33</v>
      </c>
      <c r="E82" s="2" t="s">
        <v>18</v>
      </c>
      <c r="F82" s="2" t="s">
        <v>40</v>
      </c>
      <c r="G82" s="2">
        <v>9</v>
      </c>
      <c r="H82" s="2">
        <v>2638</v>
      </c>
      <c r="I82" s="2">
        <f t="shared" si="16"/>
        <v>23742</v>
      </c>
      <c r="J82" s="2" t="s">
        <v>42</v>
      </c>
      <c r="K82" s="2" t="s">
        <v>21</v>
      </c>
      <c r="L82" t="s">
        <v>28</v>
      </c>
      <c r="M82" s="2" t="s">
        <v>23</v>
      </c>
      <c r="N82" s="2" t="s">
        <v>18</v>
      </c>
      <c r="O82" s="3">
        <v>46105</v>
      </c>
      <c r="P82" t="str">
        <f t="shared" si="11"/>
        <v>Regular</v>
      </c>
      <c r="Q82">
        <f t="shared" si="12"/>
        <v>2</v>
      </c>
      <c r="R82">
        <f t="shared" si="13"/>
        <v>2</v>
      </c>
      <c r="S82">
        <f t="shared" si="14"/>
        <v>3</v>
      </c>
      <c r="T82">
        <f t="shared" si="17"/>
        <v>7</v>
      </c>
    </row>
    <row r="83" spans="1:20" ht="13.8" x14ac:dyDescent="0.25">
      <c r="A83" s="2" t="str">
        <f t="shared" si="15"/>
        <v>C082</v>
      </c>
      <c r="B83" s="2">
        <v>23</v>
      </c>
      <c r="C83" s="2" t="s">
        <v>24</v>
      </c>
      <c r="D83" s="2" t="s">
        <v>25</v>
      </c>
      <c r="E83" s="2" t="s">
        <v>23</v>
      </c>
      <c r="F83" s="2" t="s">
        <v>39</v>
      </c>
      <c r="G83" s="2">
        <v>3</v>
      </c>
      <c r="H83" s="2">
        <v>5000</v>
      </c>
      <c r="I83" s="2">
        <f t="shared" si="16"/>
        <v>15000</v>
      </c>
      <c r="J83" s="2" t="s">
        <v>35</v>
      </c>
      <c r="K83" s="2" t="s">
        <v>32</v>
      </c>
      <c r="L83" s="2" t="s">
        <v>22</v>
      </c>
      <c r="M83" s="2" t="s">
        <v>18</v>
      </c>
      <c r="N83" s="2" t="s">
        <v>29</v>
      </c>
      <c r="O83" s="3">
        <v>46106</v>
      </c>
      <c r="P83" t="str">
        <f t="shared" si="11"/>
        <v>Regular</v>
      </c>
      <c r="Q83">
        <f t="shared" si="12"/>
        <v>1</v>
      </c>
      <c r="R83">
        <f t="shared" si="13"/>
        <v>2</v>
      </c>
      <c r="S83">
        <f t="shared" si="14"/>
        <v>2</v>
      </c>
      <c r="T83">
        <f t="shared" si="17"/>
        <v>5</v>
      </c>
    </row>
    <row r="84" spans="1:20" ht="13.8" x14ac:dyDescent="0.25">
      <c r="A84" s="2" t="str">
        <f t="shared" si="15"/>
        <v>C083</v>
      </c>
      <c r="B84" s="2">
        <v>32</v>
      </c>
      <c r="C84" s="2" t="s">
        <v>16</v>
      </c>
      <c r="D84" s="2" t="s">
        <v>25</v>
      </c>
      <c r="E84" s="2" t="s">
        <v>23</v>
      </c>
      <c r="F84" s="2" t="s">
        <v>34</v>
      </c>
      <c r="G84" s="2">
        <v>2</v>
      </c>
      <c r="H84" s="2">
        <v>3777</v>
      </c>
      <c r="I84" s="2">
        <f>G84*H84</f>
        <v>7554</v>
      </c>
      <c r="J84" s="2" t="s">
        <v>20</v>
      </c>
      <c r="K84" s="2" t="s">
        <v>21</v>
      </c>
      <c r="L84" t="s">
        <v>28</v>
      </c>
      <c r="M84" s="2" t="s">
        <v>23</v>
      </c>
      <c r="N84" s="2" t="s">
        <v>23</v>
      </c>
      <c r="O84" s="3">
        <v>46107</v>
      </c>
      <c r="P84" t="str">
        <f t="shared" si="11"/>
        <v>Regular</v>
      </c>
      <c r="Q84">
        <f t="shared" si="12"/>
        <v>1</v>
      </c>
      <c r="R84">
        <f t="shared" si="13"/>
        <v>1</v>
      </c>
      <c r="S84">
        <f t="shared" si="14"/>
        <v>3</v>
      </c>
      <c r="T84">
        <f t="shared" si="17"/>
        <v>5</v>
      </c>
    </row>
    <row r="85" spans="1:20" ht="13.8" x14ac:dyDescent="0.25">
      <c r="A85" s="2" t="str">
        <f t="shared" si="15"/>
        <v>C084</v>
      </c>
      <c r="B85" s="2">
        <v>50</v>
      </c>
      <c r="C85" s="2" t="s">
        <v>24</v>
      </c>
      <c r="D85" s="2" t="s">
        <v>30</v>
      </c>
      <c r="E85" s="2" t="s">
        <v>18</v>
      </c>
      <c r="F85" s="2" t="s">
        <v>31</v>
      </c>
      <c r="G85" s="2">
        <v>20</v>
      </c>
      <c r="H85" s="2">
        <v>5665</v>
      </c>
      <c r="I85" s="2">
        <f t="shared" ref="I85:I101" si="18">G85*H85</f>
        <v>113300</v>
      </c>
      <c r="J85" s="2" t="s">
        <v>35</v>
      </c>
      <c r="K85" s="2" t="s">
        <v>32</v>
      </c>
      <c r="L85" s="2" t="s">
        <v>44</v>
      </c>
      <c r="M85" s="2" t="s">
        <v>18</v>
      </c>
      <c r="N85" s="2" t="s">
        <v>18</v>
      </c>
      <c r="O85" s="3">
        <v>46108</v>
      </c>
      <c r="P85" t="str">
        <f t="shared" si="11"/>
        <v>Premium</v>
      </c>
      <c r="Q85">
        <f t="shared" si="12"/>
        <v>3</v>
      </c>
      <c r="R85">
        <f t="shared" si="13"/>
        <v>3</v>
      </c>
      <c r="S85">
        <f t="shared" si="14"/>
        <v>2</v>
      </c>
      <c r="T85">
        <f t="shared" si="17"/>
        <v>8</v>
      </c>
    </row>
    <row r="86" spans="1:20" ht="13.8" x14ac:dyDescent="0.25">
      <c r="A86" s="2" t="str">
        <f t="shared" si="15"/>
        <v>C085</v>
      </c>
      <c r="B86" s="2">
        <v>40</v>
      </c>
      <c r="C86" s="2" t="s">
        <v>16</v>
      </c>
      <c r="D86" s="2" t="s">
        <v>36</v>
      </c>
      <c r="E86" s="2" t="s">
        <v>23</v>
      </c>
      <c r="F86" s="2" t="s">
        <v>26</v>
      </c>
      <c r="G86" s="2">
        <v>10</v>
      </c>
      <c r="H86" s="2">
        <v>2455</v>
      </c>
      <c r="I86" s="2">
        <f t="shared" si="18"/>
        <v>24550</v>
      </c>
      <c r="J86" s="2" t="s">
        <v>42</v>
      </c>
      <c r="K86" s="2" t="s">
        <v>32</v>
      </c>
      <c r="L86" t="s">
        <v>28</v>
      </c>
      <c r="M86" s="2" t="s">
        <v>23</v>
      </c>
      <c r="N86" s="2" t="s">
        <v>29</v>
      </c>
      <c r="O86" s="3">
        <v>46109</v>
      </c>
      <c r="P86" t="str">
        <f t="shared" si="11"/>
        <v>Regular</v>
      </c>
      <c r="Q86">
        <f t="shared" si="12"/>
        <v>2</v>
      </c>
      <c r="R86">
        <f t="shared" si="13"/>
        <v>2</v>
      </c>
      <c r="S86">
        <f t="shared" si="14"/>
        <v>3</v>
      </c>
      <c r="T86">
        <f t="shared" si="17"/>
        <v>7</v>
      </c>
    </row>
    <row r="87" spans="1:20" ht="13.8" x14ac:dyDescent="0.25">
      <c r="A87" s="2" t="str">
        <f t="shared" si="15"/>
        <v>C086</v>
      </c>
      <c r="B87" s="2">
        <v>44</v>
      </c>
      <c r="C87" s="2" t="s">
        <v>24</v>
      </c>
      <c r="D87" s="2" t="s">
        <v>33</v>
      </c>
      <c r="E87" s="2" t="s">
        <v>18</v>
      </c>
      <c r="F87" s="2" t="s">
        <v>38</v>
      </c>
      <c r="G87" s="2">
        <v>15</v>
      </c>
      <c r="H87" s="2">
        <v>3422</v>
      </c>
      <c r="I87" s="2">
        <f t="shared" si="18"/>
        <v>51330</v>
      </c>
      <c r="J87" s="2" t="s">
        <v>41</v>
      </c>
      <c r="K87" s="2" t="s">
        <v>21</v>
      </c>
      <c r="L87" s="2" t="s">
        <v>44</v>
      </c>
      <c r="M87" s="2" t="s">
        <v>18</v>
      </c>
      <c r="N87" s="2" t="s">
        <v>23</v>
      </c>
      <c r="O87" s="3">
        <v>46110</v>
      </c>
      <c r="P87" t="str">
        <f t="shared" si="11"/>
        <v>Premium</v>
      </c>
      <c r="Q87">
        <f t="shared" si="12"/>
        <v>3</v>
      </c>
      <c r="R87">
        <f t="shared" si="13"/>
        <v>3</v>
      </c>
      <c r="S87">
        <f t="shared" si="14"/>
        <v>2</v>
      </c>
      <c r="T87">
        <f t="shared" si="17"/>
        <v>8</v>
      </c>
    </row>
    <row r="88" spans="1:20" ht="13.8" x14ac:dyDescent="0.25">
      <c r="A88" s="2" t="str">
        <f t="shared" si="15"/>
        <v>C087</v>
      </c>
      <c r="B88" s="2">
        <v>22</v>
      </c>
      <c r="C88" s="2" t="s">
        <v>16</v>
      </c>
      <c r="D88" s="2" t="s">
        <v>36</v>
      </c>
      <c r="E88" s="2" t="s">
        <v>23</v>
      </c>
      <c r="F88" s="2" t="s">
        <v>37</v>
      </c>
      <c r="G88" s="2">
        <v>19</v>
      </c>
      <c r="H88" s="2">
        <v>2231</v>
      </c>
      <c r="I88" s="2">
        <f t="shared" si="18"/>
        <v>42389</v>
      </c>
      <c r="J88" s="2" t="s">
        <v>41</v>
      </c>
      <c r="K88" s="2" t="s">
        <v>32</v>
      </c>
      <c r="L88" t="s">
        <v>28</v>
      </c>
      <c r="M88" s="2" t="s">
        <v>23</v>
      </c>
      <c r="N88" s="2" t="s">
        <v>18</v>
      </c>
      <c r="O88" s="3">
        <v>46111</v>
      </c>
      <c r="P88" t="str">
        <f t="shared" si="11"/>
        <v>Premium</v>
      </c>
      <c r="Q88">
        <f t="shared" si="12"/>
        <v>3</v>
      </c>
      <c r="R88">
        <f t="shared" si="13"/>
        <v>3</v>
      </c>
      <c r="S88">
        <f t="shared" si="14"/>
        <v>3</v>
      </c>
      <c r="T88">
        <f t="shared" si="17"/>
        <v>9</v>
      </c>
    </row>
    <row r="89" spans="1:20" ht="13.8" x14ac:dyDescent="0.25">
      <c r="A89" s="2" t="str">
        <f t="shared" si="15"/>
        <v>C088</v>
      </c>
      <c r="B89" s="2">
        <v>24</v>
      </c>
      <c r="C89" s="2" t="s">
        <v>24</v>
      </c>
      <c r="D89" s="2" t="s">
        <v>33</v>
      </c>
      <c r="E89" s="2" t="s">
        <v>18</v>
      </c>
      <c r="F89" s="2" t="s">
        <v>40</v>
      </c>
      <c r="G89" s="2">
        <v>15</v>
      </c>
      <c r="H89" s="2">
        <v>4478</v>
      </c>
      <c r="I89" s="2">
        <f t="shared" si="18"/>
        <v>67170</v>
      </c>
      <c r="J89" s="2" t="s">
        <v>20</v>
      </c>
      <c r="K89" s="2" t="s">
        <v>21</v>
      </c>
      <c r="L89" s="2" t="s">
        <v>44</v>
      </c>
      <c r="M89" s="2" t="s">
        <v>18</v>
      </c>
      <c r="N89" s="2" t="s">
        <v>29</v>
      </c>
      <c r="O89" s="3">
        <v>46112</v>
      </c>
      <c r="P89" t="str">
        <f t="shared" si="11"/>
        <v>Premium</v>
      </c>
      <c r="Q89">
        <f t="shared" si="12"/>
        <v>3</v>
      </c>
      <c r="R89">
        <f t="shared" si="13"/>
        <v>3</v>
      </c>
      <c r="S89">
        <f t="shared" si="14"/>
        <v>2</v>
      </c>
      <c r="T89">
        <f t="shared" si="17"/>
        <v>8</v>
      </c>
    </row>
    <row r="90" spans="1:20" ht="13.8" x14ac:dyDescent="0.25">
      <c r="A90" s="2" t="str">
        <f t="shared" si="15"/>
        <v>C089</v>
      </c>
      <c r="B90" s="2">
        <v>43</v>
      </c>
      <c r="C90" s="2" t="s">
        <v>16</v>
      </c>
      <c r="D90" s="2" t="s">
        <v>30</v>
      </c>
      <c r="E90" s="2" t="s">
        <v>23</v>
      </c>
      <c r="F90" s="2" t="s">
        <v>37</v>
      </c>
      <c r="G90" s="2">
        <v>17</v>
      </c>
      <c r="H90" s="2">
        <v>4344</v>
      </c>
      <c r="I90" s="2">
        <f t="shared" si="18"/>
        <v>73848</v>
      </c>
      <c r="J90" s="2" t="s">
        <v>35</v>
      </c>
      <c r="K90" s="2" t="s">
        <v>21</v>
      </c>
      <c r="L90" t="s">
        <v>28</v>
      </c>
      <c r="M90" s="2" t="s">
        <v>23</v>
      </c>
      <c r="N90" s="2" t="s">
        <v>23</v>
      </c>
      <c r="O90" s="3">
        <v>46113</v>
      </c>
      <c r="P90" t="str">
        <f t="shared" si="11"/>
        <v>Premium</v>
      </c>
      <c r="Q90">
        <f t="shared" si="12"/>
        <v>3</v>
      </c>
      <c r="R90">
        <f t="shared" si="13"/>
        <v>3</v>
      </c>
      <c r="S90">
        <f t="shared" si="14"/>
        <v>3</v>
      </c>
      <c r="T90">
        <f t="shared" si="17"/>
        <v>9</v>
      </c>
    </row>
    <row r="91" spans="1:20" ht="27.6" x14ac:dyDescent="0.25">
      <c r="A91" s="2" t="str">
        <f t="shared" si="15"/>
        <v>C090</v>
      </c>
      <c r="B91" s="2">
        <v>45</v>
      </c>
      <c r="C91" s="2" t="s">
        <v>24</v>
      </c>
      <c r="D91" s="2" t="s">
        <v>17</v>
      </c>
      <c r="E91" s="2" t="s">
        <v>18</v>
      </c>
      <c r="F91" s="2" t="s">
        <v>38</v>
      </c>
      <c r="G91" s="2">
        <v>13</v>
      </c>
      <c r="H91" s="2">
        <v>1233</v>
      </c>
      <c r="I91" s="2">
        <f t="shared" si="18"/>
        <v>16029</v>
      </c>
      <c r="J91" s="2" t="s">
        <v>27</v>
      </c>
      <c r="K91" s="2" t="s">
        <v>32</v>
      </c>
      <c r="L91" s="2" t="s">
        <v>22</v>
      </c>
      <c r="M91" s="2" t="s">
        <v>18</v>
      </c>
      <c r="N91" s="2" t="s">
        <v>18</v>
      </c>
      <c r="O91" s="3">
        <v>46114</v>
      </c>
      <c r="P91" t="str">
        <f t="shared" si="11"/>
        <v>Regular</v>
      </c>
      <c r="Q91">
        <f t="shared" si="12"/>
        <v>2</v>
      </c>
      <c r="R91">
        <f t="shared" si="13"/>
        <v>2</v>
      </c>
      <c r="S91">
        <f t="shared" si="14"/>
        <v>2</v>
      </c>
      <c r="T91">
        <f t="shared" si="17"/>
        <v>6</v>
      </c>
    </row>
    <row r="92" spans="1:20" ht="13.8" x14ac:dyDescent="0.25">
      <c r="A92" s="2" t="str">
        <f t="shared" si="15"/>
        <v>C091</v>
      </c>
      <c r="B92" s="2">
        <v>37</v>
      </c>
      <c r="C92" s="2" t="s">
        <v>16</v>
      </c>
      <c r="D92" s="2" t="s">
        <v>25</v>
      </c>
      <c r="E92" s="2" t="s">
        <v>23</v>
      </c>
      <c r="F92" s="2" t="s">
        <v>34</v>
      </c>
      <c r="G92" s="2">
        <v>2</v>
      </c>
      <c r="H92" s="2">
        <v>4322</v>
      </c>
      <c r="I92" s="2">
        <f t="shared" si="18"/>
        <v>8644</v>
      </c>
      <c r="J92" s="2" t="s">
        <v>41</v>
      </c>
      <c r="K92" s="2" t="s">
        <v>21</v>
      </c>
      <c r="L92" t="s">
        <v>28</v>
      </c>
      <c r="M92" s="2" t="s">
        <v>23</v>
      </c>
      <c r="N92" s="2" t="s">
        <v>29</v>
      </c>
      <c r="O92" s="3">
        <v>46115</v>
      </c>
      <c r="P92" t="str">
        <f t="shared" si="11"/>
        <v>Regular</v>
      </c>
      <c r="Q92">
        <f t="shared" si="12"/>
        <v>1</v>
      </c>
      <c r="R92">
        <f t="shared" si="13"/>
        <v>1</v>
      </c>
      <c r="S92">
        <f t="shared" si="14"/>
        <v>3</v>
      </c>
      <c r="T92">
        <f t="shared" si="17"/>
        <v>5</v>
      </c>
    </row>
    <row r="93" spans="1:20" ht="13.8" x14ac:dyDescent="0.25">
      <c r="A93" s="2" t="str">
        <f t="shared" si="15"/>
        <v>C092</v>
      </c>
      <c r="B93" s="2">
        <v>39</v>
      </c>
      <c r="C93" s="2" t="s">
        <v>24</v>
      </c>
      <c r="D93" s="2" t="s">
        <v>33</v>
      </c>
      <c r="E93" s="2" t="s">
        <v>18</v>
      </c>
      <c r="F93" s="2" t="s">
        <v>26</v>
      </c>
      <c r="G93" s="2">
        <v>4</v>
      </c>
      <c r="H93" s="2">
        <v>3345</v>
      </c>
      <c r="I93" s="2">
        <f t="shared" si="18"/>
        <v>13380</v>
      </c>
      <c r="J93" s="2" t="s">
        <v>42</v>
      </c>
      <c r="K93" s="2" t="s">
        <v>21</v>
      </c>
      <c r="L93" s="2" t="s">
        <v>22</v>
      </c>
      <c r="M93" s="2" t="s">
        <v>18</v>
      </c>
      <c r="N93" s="2" t="s">
        <v>18</v>
      </c>
      <c r="O93" s="3">
        <v>46116</v>
      </c>
      <c r="P93" t="str">
        <f t="shared" si="11"/>
        <v>Low Value</v>
      </c>
      <c r="Q93">
        <f t="shared" si="12"/>
        <v>1</v>
      </c>
      <c r="R93">
        <f t="shared" si="13"/>
        <v>1</v>
      </c>
      <c r="S93">
        <f t="shared" si="14"/>
        <v>2</v>
      </c>
      <c r="T93">
        <f t="shared" si="17"/>
        <v>4</v>
      </c>
    </row>
    <row r="94" spans="1:20" ht="13.8" x14ac:dyDescent="0.25">
      <c r="A94" s="2" t="str">
        <f t="shared" si="15"/>
        <v>C093</v>
      </c>
      <c r="B94" s="2">
        <v>38</v>
      </c>
      <c r="C94" s="2" t="s">
        <v>24</v>
      </c>
      <c r="D94" s="2" t="s">
        <v>30</v>
      </c>
      <c r="E94" s="2" t="s">
        <v>18</v>
      </c>
      <c r="F94" s="2" t="s">
        <v>39</v>
      </c>
      <c r="G94" s="2">
        <v>6</v>
      </c>
      <c r="H94" s="2">
        <v>2231</v>
      </c>
      <c r="I94" s="2">
        <f t="shared" si="18"/>
        <v>13386</v>
      </c>
      <c r="J94" s="2" t="s">
        <v>35</v>
      </c>
      <c r="K94" s="2" t="s">
        <v>32</v>
      </c>
      <c r="L94" t="s">
        <v>28</v>
      </c>
      <c r="M94" s="2" t="s">
        <v>23</v>
      </c>
      <c r="N94" s="2" t="s">
        <v>23</v>
      </c>
      <c r="O94" s="3">
        <v>46117</v>
      </c>
      <c r="P94" t="str">
        <f t="shared" si="11"/>
        <v>Regular</v>
      </c>
      <c r="Q94">
        <f t="shared" si="12"/>
        <v>1</v>
      </c>
      <c r="R94">
        <f t="shared" si="13"/>
        <v>1</v>
      </c>
      <c r="S94">
        <f t="shared" si="14"/>
        <v>3</v>
      </c>
      <c r="T94">
        <f t="shared" si="17"/>
        <v>5</v>
      </c>
    </row>
    <row r="95" spans="1:20" ht="13.8" x14ac:dyDescent="0.25">
      <c r="A95" s="2" t="str">
        <f t="shared" si="15"/>
        <v>C094</v>
      </c>
      <c r="B95" s="2">
        <v>49</v>
      </c>
      <c r="C95" s="2" t="s">
        <v>16</v>
      </c>
      <c r="D95" s="2" t="s">
        <v>36</v>
      </c>
      <c r="E95" s="2" t="s">
        <v>23</v>
      </c>
      <c r="F95" s="2" t="s">
        <v>19</v>
      </c>
      <c r="G95" s="2">
        <v>7</v>
      </c>
      <c r="H95" s="2">
        <v>2748</v>
      </c>
      <c r="I95" s="2">
        <f t="shared" si="18"/>
        <v>19236</v>
      </c>
      <c r="J95" s="2" t="s">
        <v>41</v>
      </c>
      <c r="K95" s="2" t="s">
        <v>21</v>
      </c>
      <c r="L95" s="2" t="s">
        <v>22</v>
      </c>
      <c r="M95" s="2" t="s">
        <v>18</v>
      </c>
      <c r="N95" s="2" t="s">
        <v>18</v>
      </c>
      <c r="O95" s="3">
        <v>46118</v>
      </c>
      <c r="P95" t="str">
        <f t="shared" si="11"/>
        <v>Regular</v>
      </c>
      <c r="Q95">
        <f t="shared" si="12"/>
        <v>1</v>
      </c>
      <c r="R95">
        <f t="shared" si="13"/>
        <v>2</v>
      </c>
      <c r="S95">
        <f t="shared" si="14"/>
        <v>2</v>
      </c>
      <c r="T95">
        <f t="shared" si="17"/>
        <v>5</v>
      </c>
    </row>
    <row r="96" spans="1:20" ht="13.8" x14ac:dyDescent="0.25">
      <c r="A96" s="2" t="str">
        <f t="shared" si="15"/>
        <v>C095</v>
      </c>
      <c r="B96" s="2">
        <v>26</v>
      </c>
      <c r="C96" s="2" t="s">
        <v>16</v>
      </c>
      <c r="D96" s="2" t="s">
        <v>25</v>
      </c>
      <c r="E96" s="2" t="s">
        <v>23</v>
      </c>
      <c r="F96" s="2" t="s">
        <v>31</v>
      </c>
      <c r="G96" s="2">
        <v>9</v>
      </c>
      <c r="H96" s="2">
        <v>3567</v>
      </c>
      <c r="I96" s="2">
        <f t="shared" si="18"/>
        <v>32103</v>
      </c>
      <c r="J96" s="2" t="s">
        <v>20</v>
      </c>
      <c r="K96" s="2" t="s">
        <v>32</v>
      </c>
      <c r="L96" t="s">
        <v>28</v>
      </c>
      <c r="M96" s="2" t="s">
        <v>23</v>
      </c>
      <c r="N96" s="2" t="s">
        <v>29</v>
      </c>
      <c r="O96" s="3">
        <v>46119</v>
      </c>
      <c r="P96" t="str">
        <f t="shared" si="11"/>
        <v>Regular</v>
      </c>
      <c r="Q96">
        <f t="shared" si="12"/>
        <v>2</v>
      </c>
      <c r="R96">
        <f t="shared" si="13"/>
        <v>2</v>
      </c>
      <c r="S96">
        <f t="shared" si="14"/>
        <v>3</v>
      </c>
      <c r="T96">
        <f t="shared" si="17"/>
        <v>7</v>
      </c>
    </row>
    <row r="97" spans="1:20" ht="27.6" x14ac:dyDescent="0.25">
      <c r="A97" s="2" t="str">
        <f t="shared" si="15"/>
        <v>C096</v>
      </c>
      <c r="B97" s="2">
        <v>23</v>
      </c>
      <c r="C97" s="2" t="s">
        <v>16</v>
      </c>
      <c r="D97" s="2" t="s">
        <v>17</v>
      </c>
      <c r="E97" s="2" t="s">
        <v>18</v>
      </c>
      <c r="F97" s="2" t="s">
        <v>40</v>
      </c>
      <c r="G97" s="2">
        <v>5</v>
      </c>
      <c r="H97" s="2">
        <v>4323</v>
      </c>
      <c r="I97" s="2">
        <f t="shared" si="18"/>
        <v>21615</v>
      </c>
      <c r="J97" s="2" t="s">
        <v>27</v>
      </c>
      <c r="K97" s="2" t="s">
        <v>21</v>
      </c>
      <c r="L97" s="2" t="s">
        <v>22</v>
      </c>
      <c r="M97" s="2" t="s">
        <v>18</v>
      </c>
      <c r="N97" s="2" t="s">
        <v>29</v>
      </c>
      <c r="O97" s="3">
        <v>46120</v>
      </c>
      <c r="P97" t="str">
        <f t="shared" si="11"/>
        <v>Regular</v>
      </c>
      <c r="Q97">
        <f t="shared" si="12"/>
        <v>1</v>
      </c>
      <c r="R97">
        <f t="shared" si="13"/>
        <v>2</v>
      </c>
      <c r="S97">
        <f t="shared" si="14"/>
        <v>2</v>
      </c>
      <c r="T97">
        <f t="shared" si="17"/>
        <v>5</v>
      </c>
    </row>
    <row r="98" spans="1:20" ht="13.8" x14ac:dyDescent="0.25">
      <c r="A98" s="2" t="str">
        <f t="shared" si="15"/>
        <v>C097</v>
      </c>
      <c r="B98" s="2">
        <v>47</v>
      </c>
      <c r="C98" s="2" t="s">
        <v>24</v>
      </c>
      <c r="D98" s="2" t="s">
        <v>36</v>
      </c>
      <c r="E98" s="2" t="s">
        <v>23</v>
      </c>
      <c r="F98" s="2" t="s">
        <v>39</v>
      </c>
      <c r="G98" s="2">
        <v>14</v>
      </c>
      <c r="H98" s="2">
        <v>1324</v>
      </c>
      <c r="I98" s="2">
        <f t="shared" si="18"/>
        <v>18536</v>
      </c>
      <c r="J98" s="2" t="s">
        <v>35</v>
      </c>
      <c r="K98" s="2" t="s">
        <v>21</v>
      </c>
      <c r="L98" t="s">
        <v>28</v>
      </c>
      <c r="M98" s="2" t="s">
        <v>23</v>
      </c>
      <c r="N98" s="2" t="s">
        <v>18</v>
      </c>
      <c r="O98" s="3">
        <v>46121</v>
      </c>
      <c r="P98" t="str">
        <f t="shared" si="11"/>
        <v>Regular</v>
      </c>
      <c r="Q98">
        <f t="shared" si="12"/>
        <v>2</v>
      </c>
      <c r="R98">
        <f t="shared" si="13"/>
        <v>2</v>
      </c>
      <c r="S98">
        <f t="shared" si="14"/>
        <v>3</v>
      </c>
      <c r="T98">
        <f t="shared" si="17"/>
        <v>7</v>
      </c>
    </row>
    <row r="99" spans="1:20" ht="13.8" x14ac:dyDescent="0.25">
      <c r="A99" s="2" t="str">
        <f t="shared" si="15"/>
        <v>C098</v>
      </c>
      <c r="B99" s="2">
        <v>50</v>
      </c>
      <c r="C99" s="2" t="s">
        <v>16</v>
      </c>
      <c r="D99" s="2" t="s">
        <v>25</v>
      </c>
      <c r="E99" s="2" t="s">
        <v>18</v>
      </c>
      <c r="F99" s="2" t="s">
        <v>38</v>
      </c>
      <c r="G99" s="2">
        <v>16</v>
      </c>
      <c r="H99" s="2">
        <v>3567</v>
      </c>
      <c r="I99" s="2">
        <f t="shared" si="18"/>
        <v>57072</v>
      </c>
      <c r="J99" s="2" t="s">
        <v>42</v>
      </c>
      <c r="K99" s="2" t="s">
        <v>32</v>
      </c>
      <c r="L99" s="2" t="s">
        <v>22</v>
      </c>
      <c r="M99" s="2" t="s">
        <v>18</v>
      </c>
      <c r="N99" s="2" t="s">
        <v>18</v>
      </c>
      <c r="O99" s="3">
        <v>46122</v>
      </c>
      <c r="P99" t="str">
        <f t="shared" si="11"/>
        <v>Premium</v>
      </c>
      <c r="Q99">
        <f t="shared" si="12"/>
        <v>3</v>
      </c>
      <c r="R99">
        <f t="shared" si="13"/>
        <v>3</v>
      </c>
      <c r="S99">
        <f t="shared" si="14"/>
        <v>2</v>
      </c>
      <c r="T99">
        <f t="shared" si="17"/>
        <v>8</v>
      </c>
    </row>
    <row r="100" spans="1:20" ht="13.8" x14ac:dyDescent="0.25">
      <c r="A100" s="2" t="str">
        <f t="shared" si="15"/>
        <v>C099</v>
      </c>
      <c r="B100" s="2">
        <v>40</v>
      </c>
      <c r="C100" s="2" t="s">
        <v>24</v>
      </c>
      <c r="D100" s="2" t="s">
        <v>33</v>
      </c>
      <c r="E100" s="2" t="s">
        <v>23</v>
      </c>
      <c r="F100" s="2" t="s">
        <v>37</v>
      </c>
      <c r="G100" s="2">
        <v>14</v>
      </c>
      <c r="H100" s="2">
        <v>4398</v>
      </c>
      <c r="I100" s="2">
        <f t="shared" si="18"/>
        <v>61572</v>
      </c>
      <c r="J100" s="2" t="s">
        <v>20</v>
      </c>
      <c r="K100" s="2" t="s">
        <v>32</v>
      </c>
      <c r="L100" t="s">
        <v>28</v>
      </c>
      <c r="M100" s="2" t="s">
        <v>23</v>
      </c>
      <c r="N100" s="2" t="s">
        <v>23</v>
      </c>
      <c r="O100" s="3">
        <v>46123</v>
      </c>
      <c r="P100" t="str">
        <f t="shared" si="11"/>
        <v>Premium</v>
      </c>
      <c r="Q100">
        <f t="shared" si="12"/>
        <v>2</v>
      </c>
      <c r="R100">
        <f t="shared" si="13"/>
        <v>3</v>
      </c>
      <c r="S100">
        <f t="shared" si="14"/>
        <v>3</v>
      </c>
      <c r="T100">
        <f t="shared" si="17"/>
        <v>8</v>
      </c>
    </row>
    <row r="101" spans="1:20" ht="13.8" x14ac:dyDescent="0.25">
      <c r="A101" s="2" t="str">
        <f t="shared" si="15"/>
        <v>C100</v>
      </c>
      <c r="B101" s="2">
        <v>30</v>
      </c>
      <c r="C101" s="2" t="s">
        <v>16</v>
      </c>
      <c r="D101" s="2" t="s">
        <v>30</v>
      </c>
      <c r="E101" s="2" t="s">
        <v>18</v>
      </c>
      <c r="F101" s="2" t="s">
        <v>34</v>
      </c>
      <c r="G101" s="2">
        <v>15</v>
      </c>
      <c r="H101" s="2">
        <v>4334</v>
      </c>
      <c r="I101" s="2">
        <f t="shared" si="18"/>
        <v>65010</v>
      </c>
      <c r="J101" s="2" t="s">
        <v>27</v>
      </c>
      <c r="K101" s="2" t="s">
        <v>21</v>
      </c>
      <c r="L101" s="2" t="s">
        <v>28</v>
      </c>
      <c r="M101" s="2" t="s">
        <v>18</v>
      </c>
      <c r="N101" s="2" t="s">
        <v>18</v>
      </c>
      <c r="O101" s="3">
        <v>46124</v>
      </c>
      <c r="P101" t="str">
        <f t="shared" si="11"/>
        <v>Premium</v>
      </c>
      <c r="Q101">
        <f t="shared" si="12"/>
        <v>3</v>
      </c>
      <c r="R101">
        <f t="shared" si="13"/>
        <v>3</v>
      </c>
      <c r="S101">
        <f t="shared" si="14"/>
        <v>2</v>
      </c>
      <c r="T101">
        <f t="shared" si="17"/>
        <v>8</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44D5-B2A9-4FEE-AF10-97A544BD04BC}">
  <dimension ref="A1:B6"/>
  <sheetViews>
    <sheetView workbookViewId="0">
      <selection activeCell="E7" sqref="E7"/>
    </sheetView>
  </sheetViews>
  <sheetFormatPr defaultRowHeight="13.8" x14ac:dyDescent="0.25"/>
  <cols>
    <col min="1" max="1" width="21.796875" customWidth="1"/>
    <col min="2" max="2" width="51.69921875" customWidth="1"/>
  </cols>
  <sheetData>
    <row r="1" spans="1:2" ht="25.05" customHeight="1" x14ac:dyDescent="0.25">
      <c r="A1" s="1" t="s">
        <v>66</v>
      </c>
      <c r="B1" s="1" t="s">
        <v>67</v>
      </c>
    </row>
    <row r="2" spans="1:2" ht="17.55" customHeight="1" x14ac:dyDescent="0.25">
      <c r="A2" s="2" t="s">
        <v>49</v>
      </c>
      <c r="B2" s="14">
        <f>COUNTA(Segmentation_Logic!A:A)-1</f>
        <v>100</v>
      </c>
    </row>
    <row r="3" spans="1:2" x14ac:dyDescent="0.25">
      <c r="A3" s="2" t="s">
        <v>50</v>
      </c>
      <c r="B3" s="9">
        <f>SUM(Segmentation_Logic!I:I)</f>
        <v>3491529</v>
      </c>
    </row>
    <row r="4" spans="1:2" ht="24" customHeight="1" x14ac:dyDescent="0.25">
      <c r="A4" s="2" t="s">
        <v>51</v>
      </c>
      <c r="B4" s="14">
        <f>AVERAGE(Segmentation_Logic!H:H)</f>
        <v>3087.96</v>
      </c>
    </row>
    <row r="5" spans="1:2" ht="19.5" customHeight="1" x14ac:dyDescent="0.25">
      <c r="A5" s="2" t="s">
        <v>52</v>
      </c>
      <c r="B5" s="14">
        <f>COUNTIF(Segmentation_Logic!P:P,"Premium")</f>
        <v>37</v>
      </c>
    </row>
    <row r="6" spans="1:2" ht="31.95" customHeight="1" x14ac:dyDescent="0.25">
      <c r="A6" s="2" t="s">
        <v>53</v>
      </c>
      <c r="B6" s="15">
        <f>COUNTIF(Segmentation_Logic!L:L,"Returning")/COUNTA(Segmentation_Logic!A:A)</f>
        <v>0.53465346534653468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20B5-D7E7-4BCE-813C-BC62C115D192}">
  <dimension ref="A1:J28"/>
  <sheetViews>
    <sheetView tabSelected="1" workbookViewId="0">
      <selection activeCell="B26" sqref="B26"/>
    </sheetView>
  </sheetViews>
  <sheetFormatPr defaultRowHeight="13.8" x14ac:dyDescent="0.25"/>
  <cols>
    <col min="1" max="1" width="13.69921875" bestFit="1" customWidth="1"/>
    <col min="2" max="2" width="21.8984375" bestFit="1" customWidth="1"/>
    <col min="9" max="9" width="23.69921875" customWidth="1"/>
    <col min="10" max="10" width="20.69921875" customWidth="1"/>
  </cols>
  <sheetData>
    <row r="1" spans="1:10" ht="17.399999999999999" x14ac:dyDescent="0.3">
      <c r="A1" s="8" t="s">
        <v>61</v>
      </c>
      <c r="I1" s="8" t="s">
        <v>62</v>
      </c>
    </row>
    <row r="3" spans="1:10" x14ac:dyDescent="0.25">
      <c r="A3" s="4" t="s">
        <v>54</v>
      </c>
      <c r="B3" t="s">
        <v>59</v>
      </c>
      <c r="I3" s="4" t="s">
        <v>54</v>
      </c>
      <c r="J3" t="s">
        <v>60</v>
      </c>
    </row>
    <row r="4" spans="1:10" x14ac:dyDescent="0.25">
      <c r="A4" s="5" t="s">
        <v>56</v>
      </c>
      <c r="B4" s="16">
        <v>11</v>
      </c>
      <c r="I4" s="5" t="s">
        <v>56</v>
      </c>
      <c r="J4">
        <v>94480</v>
      </c>
    </row>
    <row r="5" spans="1:10" x14ac:dyDescent="0.25">
      <c r="A5" s="5" t="s">
        <v>58</v>
      </c>
      <c r="B5" s="16">
        <v>37</v>
      </c>
      <c r="I5" s="5" t="s">
        <v>58</v>
      </c>
      <c r="J5">
        <v>2307843</v>
      </c>
    </row>
    <row r="6" spans="1:10" x14ac:dyDescent="0.25">
      <c r="A6" s="5" t="s">
        <v>57</v>
      </c>
      <c r="B6" s="16">
        <v>52</v>
      </c>
      <c r="I6" s="5" t="s">
        <v>57</v>
      </c>
      <c r="J6">
        <v>1089206</v>
      </c>
    </row>
    <row r="7" spans="1:10" x14ac:dyDescent="0.25">
      <c r="A7" s="5" t="s">
        <v>55</v>
      </c>
      <c r="B7" s="16">
        <v>100</v>
      </c>
      <c r="I7" s="5" t="s">
        <v>55</v>
      </c>
      <c r="J7">
        <v>3491529</v>
      </c>
    </row>
    <row r="10" spans="1:10" ht="15.6" x14ac:dyDescent="0.3">
      <c r="A10" s="7" t="s">
        <v>63</v>
      </c>
      <c r="I10" s="7" t="s">
        <v>64</v>
      </c>
    </row>
    <row r="12" spans="1:10" x14ac:dyDescent="0.25">
      <c r="A12" s="4" t="s">
        <v>54</v>
      </c>
      <c r="B12" t="s">
        <v>59</v>
      </c>
      <c r="I12" s="4" t="s">
        <v>54</v>
      </c>
      <c r="J12" t="s">
        <v>60</v>
      </c>
    </row>
    <row r="13" spans="1:10" x14ac:dyDescent="0.25">
      <c r="A13" s="5" t="s">
        <v>25</v>
      </c>
      <c r="B13">
        <v>18</v>
      </c>
      <c r="I13" s="5" t="s">
        <v>35</v>
      </c>
      <c r="J13">
        <v>741851</v>
      </c>
    </row>
    <row r="14" spans="1:10" x14ac:dyDescent="0.25">
      <c r="A14" s="5" t="s">
        <v>30</v>
      </c>
      <c r="B14">
        <v>19</v>
      </c>
      <c r="I14" s="5" t="s">
        <v>20</v>
      </c>
      <c r="J14">
        <v>667159</v>
      </c>
    </row>
    <row r="15" spans="1:10" x14ac:dyDescent="0.25">
      <c r="A15" s="5" t="s">
        <v>36</v>
      </c>
      <c r="B15">
        <v>20</v>
      </c>
      <c r="I15" s="5" t="s">
        <v>27</v>
      </c>
      <c r="J15">
        <v>785631</v>
      </c>
    </row>
    <row r="16" spans="1:10" x14ac:dyDescent="0.25">
      <c r="A16" s="5" t="s">
        <v>17</v>
      </c>
      <c r="B16">
        <v>22</v>
      </c>
      <c r="I16" s="5" t="s">
        <v>42</v>
      </c>
      <c r="J16">
        <v>578070</v>
      </c>
    </row>
    <row r="17" spans="1:10" x14ac:dyDescent="0.25">
      <c r="A17" s="5" t="s">
        <v>33</v>
      </c>
      <c r="B17">
        <v>21</v>
      </c>
      <c r="I17" s="5" t="s">
        <v>41</v>
      </c>
      <c r="J17">
        <v>718818</v>
      </c>
    </row>
    <row r="18" spans="1:10" x14ac:dyDescent="0.25">
      <c r="A18" s="5" t="s">
        <v>55</v>
      </c>
      <c r="B18">
        <v>100</v>
      </c>
      <c r="I18" s="5" t="s">
        <v>55</v>
      </c>
      <c r="J18">
        <v>3491529</v>
      </c>
    </row>
    <row r="22" spans="1:10" ht="15.6" x14ac:dyDescent="0.3">
      <c r="A22" s="7" t="s">
        <v>65</v>
      </c>
    </row>
    <row r="24" spans="1:10" x14ac:dyDescent="0.25">
      <c r="A24" s="4" t="s">
        <v>54</v>
      </c>
      <c r="B24" t="s">
        <v>60</v>
      </c>
    </row>
    <row r="25" spans="1:10" x14ac:dyDescent="0.25">
      <c r="A25" s="5" t="s">
        <v>43</v>
      </c>
      <c r="B25" s="16">
        <v>42210</v>
      </c>
    </row>
    <row r="26" spans="1:10" x14ac:dyDescent="0.25">
      <c r="A26" s="5" t="s">
        <v>32</v>
      </c>
      <c r="B26" s="16">
        <v>1649658</v>
      </c>
    </row>
    <row r="27" spans="1:10" x14ac:dyDescent="0.25">
      <c r="A27" s="5" t="s">
        <v>21</v>
      </c>
      <c r="B27" s="16">
        <v>1799661</v>
      </c>
    </row>
    <row r="28" spans="1:10" x14ac:dyDescent="0.25">
      <c r="A28" s="5" t="s">
        <v>55</v>
      </c>
      <c r="B28" s="16">
        <v>3491529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E57D-14A3-4D23-9952-87B96527AE7A}">
  <dimension ref="A1:Z55"/>
  <sheetViews>
    <sheetView showGridLines="0" zoomScale="77" workbookViewId="0">
      <selection activeCell="X12" sqref="X12"/>
    </sheetView>
  </sheetViews>
  <sheetFormatPr defaultColWidth="8.69921875" defaultRowHeight="13.8" x14ac:dyDescent="0.25"/>
  <cols>
    <col min="1" max="1" width="37.796875" style="6" customWidth="1"/>
    <col min="2" max="2" width="21.5" style="6" customWidth="1"/>
    <col min="3" max="16384" width="8.69921875" style="6"/>
  </cols>
  <sheetData>
    <row r="1" spans="1:26" ht="20.399999999999999" x14ac:dyDescent="0.35">
      <c r="A1" s="10"/>
      <c r="B1" s="10"/>
      <c r="C1" s="11"/>
      <c r="D1" s="11"/>
      <c r="E1" s="11"/>
      <c r="F1" s="11"/>
      <c r="G1" s="11"/>
      <c r="H1" s="11"/>
      <c r="I1" s="11"/>
      <c r="J1" s="11"/>
      <c r="K1" s="11"/>
      <c r="L1" s="11"/>
      <c r="M1" s="11"/>
      <c r="N1" s="11"/>
      <c r="O1" s="11"/>
      <c r="P1" s="11"/>
      <c r="Q1" s="11"/>
      <c r="R1" s="11"/>
      <c r="S1" s="11"/>
      <c r="T1" s="11"/>
      <c r="U1" s="11"/>
      <c r="V1" s="11"/>
      <c r="W1" s="11"/>
      <c r="X1" s="11"/>
      <c r="Y1" s="11"/>
      <c r="Z1" s="11"/>
    </row>
    <row r="2" spans="1:26" ht="20.399999999999999" x14ac:dyDescent="0.35">
      <c r="A2" s="12"/>
      <c r="B2" s="12"/>
      <c r="C2" s="11"/>
      <c r="D2" s="11"/>
      <c r="E2" s="11"/>
      <c r="F2" s="11"/>
      <c r="G2" s="11"/>
      <c r="H2" s="11"/>
      <c r="I2" s="11"/>
      <c r="J2" s="11"/>
      <c r="K2" s="11"/>
      <c r="L2" s="11"/>
      <c r="M2" s="11"/>
      <c r="N2" s="11"/>
      <c r="O2" s="11"/>
      <c r="P2" s="11"/>
      <c r="Q2" s="11"/>
      <c r="R2" s="11"/>
      <c r="S2" s="11"/>
      <c r="T2" s="11"/>
      <c r="U2" s="11"/>
      <c r="V2" s="11"/>
      <c r="W2" s="11"/>
      <c r="X2" s="11"/>
      <c r="Y2" s="11"/>
      <c r="Z2" s="11"/>
    </row>
    <row r="3" spans="1:26" ht="20.399999999999999" x14ac:dyDescent="0.35">
      <c r="A3" s="12"/>
      <c r="B3" s="12"/>
      <c r="C3" s="11"/>
      <c r="D3" s="11"/>
      <c r="E3" s="11"/>
      <c r="F3" s="11"/>
      <c r="G3" s="11"/>
      <c r="H3" s="11"/>
      <c r="I3" s="11"/>
      <c r="J3" s="11"/>
      <c r="K3" s="11"/>
      <c r="L3" s="11"/>
      <c r="M3" s="11"/>
      <c r="N3" s="11"/>
      <c r="O3" s="11"/>
      <c r="P3" s="11"/>
      <c r="Q3" s="11"/>
      <c r="R3" s="11"/>
      <c r="S3" s="11"/>
      <c r="T3" s="11"/>
      <c r="U3" s="11"/>
      <c r="V3" s="11"/>
      <c r="W3" s="11"/>
      <c r="X3" s="11"/>
      <c r="Y3" s="11"/>
      <c r="Z3" s="11"/>
    </row>
    <row r="4" spans="1:26" ht="20.399999999999999" x14ac:dyDescent="0.35">
      <c r="A4" s="12"/>
      <c r="B4" s="12"/>
      <c r="C4" s="11"/>
      <c r="D4" s="11"/>
      <c r="E4" s="11"/>
      <c r="F4" s="11"/>
      <c r="G4" s="11"/>
      <c r="H4" s="11"/>
      <c r="I4" s="11"/>
      <c r="J4" s="11"/>
      <c r="K4" s="11"/>
      <c r="L4" s="11"/>
      <c r="M4" s="11"/>
      <c r="N4" s="11"/>
      <c r="O4" s="11"/>
      <c r="P4" s="11"/>
      <c r="Q4" s="11"/>
      <c r="R4" s="11"/>
      <c r="S4" s="11"/>
      <c r="T4" s="11"/>
      <c r="U4" s="11"/>
      <c r="V4" s="11"/>
      <c r="W4" s="11"/>
      <c r="X4" s="11"/>
      <c r="Y4" s="11"/>
      <c r="Z4" s="11"/>
    </row>
    <row r="5" spans="1:26" ht="20.399999999999999" x14ac:dyDescent="0.35">
      <c r="A5" s="12"/>
      <c r="B5" s="12"/>
      <c r="C5" s="11"/>
      <c r="D5" s="11"/>
      <c r="E5" s="11"/>
      <c r="F5" s="11"/>
      <c r="G5" s="11"/>
      <c r="H5" s="11"/>
      <c r="I5" s="11"/>
      <c r="J5" s="11"/>
      <c r="K5" s="11"/>
      <c r="L5" s="11"/>
      <c r="M5" s="11"/>
      <c r="N5" s="11"/>
      <c r="O5" s="11"/>
      <c r="P5" s="11"/>
      <c r="Q5" s="11"/>
      <c r="R5" s="11"/>
      <c r="S5" s="11"/>
      <c r="T5" s="11"/>
      <c r="U5" s="11"/>
      <c r="V5" s="11"/>
      <c r="W5" s="11"/>
      <c r="X5" s="11"/>
      <c r="Y5" s="11"/>
      <c r="Z5" s="11"/>
    </row>
    <row r="6" spans="1:26" ht="20.399999999999999" x14ac:dyDescent="0.35">
      <c r="A6" s="12"/>
      <c r="B6" s="13"/>
      <c r="C6" s="11"/>
      <c r="D6" s="11"/>
      <c r="E6" s="11"/>
      <c r="F6" s="11"/>
      <c r="G6" s="11"/>
      <c r="H6" s="11"/>
      <c r="I6" s="11"/>
      <c r="J6" s="11"/>
      <c r="K6" s="11"/>
      <c r="L6" s="11"/>
      <c r="M6" s="11"/>
      <c r="N6" s="11"/>
      <c r="O6" s="11"/>
      <c r="P6" s="11"/>
      <c r="Q6" s="11"/>
      <c r="R6" s="11"/>
      <c r="S6" s="11"/>
      <c r="T6" s="11"/>
      <c r="U6" s="11"/>
      <c r="V6" s="11"/>
      <c r="W6" s="11"/>
      <c r="X6" s="11"/>
      <c r="Y6" s="11"/>
      <c r="Z6" s="11"/>
    </row>
    <row r="7" spans="1:26" x14ac:dyDescent="0.25">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2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25">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F7D399-E3B2-496D-9EF2-81DF8EE1C7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Segmentation_Logic</vt:lpstr>
      <vt:lpstr>KPI_Summary</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Santosh</dc:creator>
  <cp:lastModifiedBy>Hemalatha Dodla</cp:lastModifiedBy>
  <dcterms:created xsi:type="dcterms:W3CDTF">2026-04-10T12:30:44Z</dcterms:created>
  <dcterms:modified xsi:type="dcterms:W3CDTF">2026-04-13T15:09:49Z</dcterms:modified>
</cp:coreProperties>
</file>